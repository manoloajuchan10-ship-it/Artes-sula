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emana 1" sheetId="1" r:id="rId4"/>
    <sheet state="hidden" name="Semana 2" sheetId="2" r:id="rId5"/>
    <sheet state="hidden" name="Semana 3" sheetId="3" r:id="rId6"/>
    <sheet state="hidden" name="Semana 4" sheetId="4" r:id="rId7"/>
    <sheet state="hidden" name="Hoja1" sheetId="5" r:id="rId8"/>
    <sheet state="hidden" name="Personal" sheetId="6" r:id="rId9"/>
    <sheet state="visible" name="Horario Mes" sheetId="7" r:id="rId10"/>
    <sheet state="visible" name="Resumen por Pausas" sheetId="8" r:id="rId11"/>
  </sheets>
  <definedNames>
    <definedName hidden="1" localSheetId="1" name="_xlnm._FilterDatabase">'Semana 2'!$AD$5:$AD$36</definedName>
    <definedName hidden="1" localSheetId="7" name="_xlnm._FilterDatabase">'Resumen por Pausas'!$A$2:$S$7</definedName>
  </definedNames>
  <calcPr/>
  <pivotCaches>
    <pivotCache cacheId="0" r:id="rId12"/>
    <pivotCache cacheId="1" r:id="rId13"/>
  </pivotCaches>
</workbook>
</file>

<file path=xl/sharedStrings.xml><?xml version="1.0" encoding="utf-8"?>
<sst xmlns="http://schemas.openxmlformats.org/spreadsheetml/2006/main" count="1869" uniqueCount="649">
  <si>
    <t>Servicio al cliente</t>
  </si>
  <si>
    <t>#</t>
  </si>
  <si>
    <t>Produc</t>
  </si>
  <si>
    <t>Codigo</t>
  </si>
  <si>
    <t>Requerimiento</t>
  </si>
  <si>
    <t>Lunes</t>
  </si>
  <si>
    <t>Sabado</t>
  </si>
  <si>
    <t>Scheduled</t>
  </si>
  <si>
    <t>Horario</t>
  </si>
  <si>
    <t>Almuerzo</t>
  </si>
  <si>
    <t>Break 1</t>
  </si>
  <si>
    <t>Break 2</t>
  </si>
  <si>
    <t>Over / Under</t>
  </si>
  <si>
    <t>Semana 1</t>
  </si>
  <si>
    <t>Skill</t>
  </si>
  <si>
    <t xml:space="preserve">1 Entrada Lunes </t>
  </si>
  <si>
    <t>1 Salida Lunes</t>
  </si>
  <si>
    <t>1 Inicio Almuerzo Lunes</t>
  </si>
  <si>
    <t>1 Termina Almuerzo Lunes</t>
  </si>
  <si>
    <t>1 Incio Break 1 Lunes</t>
  </si>
  <si>
    <t>1 Termina Break 1 Lunes</t>
  </si>
  <si>
    <t>1 Incio Break 2 Lunes</t>
  </si>
  <si>
    <t>1 Termina Break 2 Lunes</t>
  </si>
  <si>
    <t>1 Horas Lunes</t>
  </si>
  <si>
    <t>1 Entrada Sabado</t>
  </si>
  <si>
    <t>1 Salida Sabado</t>
  </si>
  <si>
    <t>1 Inicio AlmuerzoSabado</t>
  </si>
  <si>
    <t>1 Termina Almuerzo Sabado</t>
  </si>
  <si>
    <t>1 Incio Break 1 Sabado</t>
  </si>
  <si>
    <t>1 Termina Break 1 Sabado</t>
  </si>
  <si>
    <t>1 Incio Break 2 Sabado</t>
  </si>
  <si>
    <t>1 Termina Break 2 Sabado</t>
  </si>
  <si>
    <t>1 Horas Sabado</t>
  </si>
  <si>
    <t>1 Horas Martes</t>
  </si>
  <si>
    <t>1 Horas Miercoles</t>
  </si>
  <si>
    <t>1 Horas Jueves</t>
  </si>
  <si>
    <t>1 Horas Viernes</t>
  </si>
  <si>
    <t>1 Horas Semanales</t>
  </si>
  <si>
    <t>Si</t>
  </si>
  <si>
    <t>No</t>
  </si>
  <si>
    <t/>
  </si>
  <si>
    <t>-</t>
  </si>
  <si>
    <t>Redes</t>
  </si>
  <si>
    <t>Entran a las 630</t>
  </si>
  <si>
    <t>Al a la 1200</t>
  </si>
  <si>
    <t>A las 715</t>
  </si>
  <si>
    <t>A las 1430</t>
  </si>
  <si>
    <t>Al a la 730</t>
  </si>
  <si>
    <t>Entran a las 700</t>
  </si>
  <si>
    <t>Al a la 1230</t>
  </si>
  <si>
    <t>A las 730</t>
  </si>
  <si>
    <t>A las 1445</t>
  </si>
  <si>
    <t>Al a la 800</t>
  </si>
  <si>
    <t>Entran a las 730</t>
  </si>
  <si>
    <t>Al a la 1300</t>
  </si>
  <si>
    <t>A las 745</t>
  </si>
  <si>
    <t>A las 1500</t>
  </si>
  <si>
    <t>Al a la 830</t>
  </si>
  <si>
    <t>Entran a las 800</t>
  </si>
  <si>
    <t>Al a la 1330</t>
  </si>
  <si>
    <t>A las 800</t>
  </si>
  <si>
    <t>A las 1515</t>
  </si>
  <si>
    <t>Al a la 900</t>
  </si>
  <si>
    <t>Entran a las 830</t>
  </si>
  <si>
    <t>Al a las 1400</t>
  </si>
  <si>
    <t>A las 815</t>
  </si>
  <si>
    <t>A las 1530</t>
  </si>
  <si>
    <t>Al a la 930</t>
  </si>
  <si>
    <t>Entran a las 900</t>
  </si>
  <si>
    <t>Al a las 1430</t>
  </si>
  <si>
    <t>A las 830</t>
  </si>
  <si>
    <t>A las 1545</t>
  </si>
  <si>
    <t>Al a la 1000</t>
  </si>
  <si>
    <t>Entran a las 930</t>
  </si>
  <si>
    <t>Al a las 1500</t>
  </si>
  <si>
    <t>A las 845</t>
  </si>
  <si>
    <t>A las 1600</t>
  </si>
  <si>
    <t>Al a la 1030</t>
  </si>
  <si>
    <t>Entran a las 1000</t>
  </si>
  <si>
    <t>Al a las 1530</t>
  </si>
  <si>
    <t>A las 900</t>
  </si>
  <si>
    <t>A las 1615</t>
  </si>
  <si>
    <t>Al a la 1100</t>
  </si>
  <si>
    <t>Cierran a las 1530</t>
  </si>
  <si>
    <t>Al a las 1600</t>
  </si>
  <si>
    <t>A las 915</t>
  </si>
  <si>
    <t>A las 1630</t>
  </si>
  <si>
    <t>Al a la 1130</t>
  </si>
  <si>
    <t>Cierran a las 1600</t>
  </si>
  <si>
    <t>Al a las</t>
  </si>
  <si>
    <t>A las 930</t>
  </si>
  <si>
    <t>A las 1645</t>
  </si>
  <si>
    <t>Cierran a las 1630</t>
  </si>
  <si>
    <t xml:space="preserve">Al a las </t>
  </si>
  <si>
    <t>A las 945</t>
  </si>
  <si>
    <t>A las 1700</t>
  </si>
  <si>
    <t>Cierran a las 1700</t>
  </si>
  <si>
    <t>Cierran a las 1730</t>
  </si>
  <si>
    <t>Cierran a las 1800</t>
  </si>
  <si>
    <t>Cierran a las 1830</t>
  </si>
  <si>
    <t>Cierran a las 1900</t>
  </si>
  <si>
    <t>lu</t>
  </si>
  <si>
    <t>sá</t>
  </si>
  <si>
    <t>Semana 2</t>
  </si>
  <si>
    <t>2 Entrada Lunes</t>
  </si>
  <si>
    <t>2 Salida Lunes</t>
  </si>
  <si>
    <t>2 Inicio Almuerzo Lunes</t>
  </si>
  <si>
    <t>2 Termina Almuerzo Lunes</t>
  </si>
  <si>
    <t>2 Incio Break 1 Lunes</t>
  </si>
  <si>
    <t>2 Termina Break 1 Lunes</t>
  </si>
  <si>
    <t>2 Incio Break 2 Lunes</t>
  </si>
  <si>
    <t>2 Termina Break 2 Lunes</t>
  </si>
  <si>
    <t>2 Horas Lunes</t>
  </si>
  <si>
    <t>2 Entrada Sabado</t>
  </si>
  <si>
    <t>2 Salida Sabado</t>
  </si>
  <si>
    <t>2 Inicio AlmuerzoSabado</t>
  </si>
  <si>
    <t>2 Termina Almuerzo Sabado</t>
  </si>
  <si>
    <t>2 Incio Break 1 Sabado</t>
  </si>
  <si>
    <t>2 Termina Break 1 Sabado</t>
  </si>
  <si>
    <t>2 Incio Break 2 Sabado</t>
  </si>
  <si>
    <t>2 Termina Break 2 Sabado</t>
  </si>
  <si>
    <t>2 Horas Sabado</t>
  </si>
  <si>
    <t>2 Horas Martes</t>
  </si>
  <si>
    <t>2 Horas Miercoles</t>
  </si>
  <si>
    <t>2 Horas Jueves</t>
  </si>
  <si>
    <t>2 Horas Viernes</t>
  </si>
  <si>
    <t>2 Horas Semanales</t>
  </si>
  <si>
    <t>Semana 3</t>
  </si>
  <si>
    <t>3 Entrada Lunes</t>
  </si>
  <si>
    <t>3 Salida Lunes</t>
  </si>
  <si>
    <t>Inicio Almuerzo Lunes</t>
  </si>
  <si>
    <t>Termina Almuerzo Lunes</t>
  </si>
  <si>
    <t>Incio Break 1 Lunes</t>
  </si>
  <si>
    <t>Termina Break 1 Lunes</t>
  </si>
  <si>
    <t>Incio Break 2 Lunes</t>
  </si>
  <si>
    <t>Termina Break 2 Lunes</t>
  </si>
  <si>
    <t>Horas Lunes</t>
  </si>
  <si>
    <t>Entrada Sabado</t>
  </si>
  <si>
    <t>Salida Sabado</t>
  </si>
  <si>
    <t>Inicio AlmuerzoSabado</t>
  </si>
  <si>
    <t>Termina Almuerzo Sabado</t>
  </si>
  <si>
    <t>Incio Break 1 Sabado</t>
  </si>
  <si>
    <t>Termina Break 1 Sabado</t>
  </si>
  <si>
    <t>Incio Break 2 Sabado</t>
  </si>
  <si>
    <t>Termina Break 2 Sabado</t>
  </si>
  <si>
    <t>Horas Sabado</t>
  </si>
  <si>
    <t>Horas Martes</t>
  </si>
  <si>
    <t>Horas Miercoles</t>
  </si>
  <si>
    <t>Horas Jueves</t>
  </si>
  <si>
    <t>Horas Viernes</t>
  </si>
  <si>
    <t>Horas Semanales</t>
  </si>
  <si>
    <t>Semana 4</t>
  </si>
  <si>
    <t>Entrada Lunes</t>
  </si>
  <si>
    <t>Salida Lunes</t>
  </si>
  <si>
    <t>AGENTE</t>
  </si>
  <si>
    <t>NO</t>
  </si>
  <si>
    <t>AREA</t>
  </si>
  <si>
    <t>INGRESO</t>
  </si>
  <si>
    <t>CODIGO SIFA</t>
  </si>
  <si>
    <t>CODIGO FACTUS</t>
  </si>
  <si>
    <t>ASESOR</t>
  </si>
  <si>
    <t>Supervisor</t>
  </si>
  <si>
    <t>02 DE SEPTIEMBRE 2019</t>
  </si>
  <si>
    <r>
      <rPr>
        <rFont val="Century Gothic"/>
        <b/>
        <color rgb="FF000000"/>
        <sz val="10.0"/>
      </rPr>
      <t>José</t>
    </r>
    <r>
      <rPr>
        <rFont val="Century Gothic"/>
        <b val="0"/>
        <color rgb="FF000000"/>
        <sz val="10.0"/>
      </rPr>
      <t> Fernando Jimenez Aguilar</t>
    </r>
  </si>
  <si>
    <t>Supervisora</t>
  </si>
  <si>
    <t>16 DE DICIEMBRE DE 2020</t>
  </si>
  <si>
    <r>
      <rPr>
        <rFont val="Century Gothic"/>
        <b/>
        <color rgb="FF000000"/>
        <sz val="10.0"/>
      </rPr>
      <t>Brenda</t>
    </r>
    <r>
      <rPr>
        <rFont val="Century Gothic"/>
        <b val="0"/>
        <color rgb="FF000000"/>
        <sz val="10.0"/>
      </rPr>
      <t> Susely Rosales Castellanos</t>
    </r>
  </si>
  <si>
    <t>ANALISIS DATOS</t>
  </si>
  <si>
    <t>03 DE OCTUBRE DE 2022</t>
  </si>
  <si>
    <t>Engelberg Michael Rene Gonzalez Paniagua</t>
  </si>
  <si>
    <t>Capacitación</t>
  </si>
  <si>
    <t>22 DE ABRIL DE 2016 // 01 DE JUNIO DE 2022</t>
  </si>
  <si>
    <r>
      <rPr>
        <rFont val="Century Gothic"/>
        <b/>
        <color rgb="FF000000"/>
        <sz val="10.0"/>
      </rPr>
      <t>Carmen</t>
    </r>
    <r>
      <rPr>
        <rFont val="Century Gothic"/>
        <b val="0"/>
        <color rgb="FF000000"/>
        <sz val="10.0"/>
      </rPr>
      <t> Yanira Brán Oliva</t>
    </r>
  </si>
  <si>
    <t>1 DE AGOSTO DE 2013</t>
  </si>
  <si>
    <r>
      <rPr>
        <rFont val="Century Gothic"/>
        <b/>
        <color rgb="FF000000"/>
        <sz val="10.0"/>
      </rPr>
      <t>Lili</t>
    </r>
    <r>
      <rPr>
        <rFont val="Century Gothic"/>
        <b val="0"/>
        <color rgb="FF000000"/>
        <sz val="10.0"/>
      </rPr>
      <t>an Josefina Ramirez Estrada</t>
    </r>
  </si>
  <si>
    <t>Control Calidad</t>
  </si>
  <si>
    <t>16 DE MAYO DE 2019</t>
  </si>
  <si>
    <r>
      <rPr>
        <rFont val="Century Gothic"/>
        <b/>
        <color rgb="FF000000"/>
        <sz val="10.0"/>
      </rPr>
      <t>Wilson</t>
    </r>
    <r>
      <rPr>
        <rFont val="Century Gothic"/>
        <b val="0"/>
        <color rgb="FF000000"/>
        <sz val="10.0"/>
      </rPr>
      <t> Saúl Gómez Mendoza</t>
    </r>
  </si>
  <si>
    <t>9 DE JULIO DE 2021</t>
  </si>
  <si>
    <t> 11700</t>
  </si>
  <si>
    <r>
      <rPr>
        <rFont val="Century Gothic"/>
        <color rgb="FF000000"/>
        <sz val="10.0"/>
      </rPr>
      <t>Katherine </t>
    </r>
    <r>
      <rPr>
        <rFont val="Century Gothic"/>
        <b/>
        <color rgb="FF000000"/>
        <sz val="10.0"/>
      </rPr>
      <t>Nicole</t>
    </r>
    <r>
      <rPr>
        <rFont val="Century Gothic"/>
        <color rgb="FF000000"/>
        <sz val="10.0"/>
      </rPr>
      <t> Colmenares Véliz</t>
    </r>
  </si>
  <si>
    <t>4 DE NOVIEMBRE DE 2019</t>
  </si>
  <si>
    <r>
      <rPr>
        <rFont val="Century Gothic"/>
        <color rgb="FF000000"/>
        <sz val="10.0"/>
      </rPr>
      <t>Cindy </t>
    </r>
    <r>
      <rPr>
        <rFont val="Century Gothic"/>
        <b/>
        <color rgb="FF000000"/>
        <sz val="10.0"/>
      </rPr>
      <t>Meli</t>
    </r>
    <r>
      <rPr>
        <rFont val="Century Gothic"/>
        <color rgb="FF000000"/>
        <sz val="10.0"/>
      </rPr>
      <t>ssa Aroche Ortiz</t>
    </r>
  </si>
  <si>
    <t>21 DE ENERO DE 2022</t>
  </si>
  <si>
    <t>Yandira Yaneth Balcarcel Perez</t>
  </si>
  <si>
    <t>Soporte</t>
  </si>
  <si>
    <t>16 DE JULIO DE 2018</t>
  </si>
  <si>
    <r>
      <rPr>
        <rFont val="Century Gothic"/>
        <b/>
        <color rgb="FF000000"/>
        <sz val="10.0"/>
      </rPr>
      <t>Gabriela</t>
    </r>
    <r>
      <rPr>
        <rFont val="Century Gothic"/>
        <b val="0"/>
        <color rgb="FF000000"/>
        <sz val="10.0"/>
      </rPr>
      <t> Abigail Guzman Diaz</t>
    </r>
  </si>
  <si>
    <t>16 DE AGOSTO DE 2019</t>
  </si>
  <si>
    <r>
      <rPr>
        <rFont val="Century Gothic"/>
        <b/>
        <color rgb="FF000000"/>
        <sz val="10.0"/>
      </rPr>
      <t>Marcos</t>
    </r>
    <r>
      <rPr>
        <rFont val="Century Gothic"/>
        <b val="0"/>
        <color rgb="FF000000"/>
        <sz val="10.0"/>
      </rPr>
      <t> Geovanny Coronado Giron</t>
    </r>
  </si>
  <si>
    <t>16 DE MARZO DE 2020</t>
  </si>
  <si>
    <r>
      <rPr>
        <rFont val="Century Gothic"/>
        <b/>
        <color rgb="FF000000"/>
        <sz val="10.0"/>
      </rPr>
      <t>Any</t>
    </r>
    <r>
      <rPr>
        <rFont val="Century Gothic"/>
        <b val="0"/>
        <color rgb="FF000000"/>
        <sz val="10.0"/>
      </rPr>
      <t>ely Eunice Florian y Florian</t>
    </r>
  </si>
  <si>
    <t>1 DE FEBRERO DE 2021</t>
  </si>
  <si>
    <r>
      <rPr>
        <rFont val="Century Gothic"/>
        <b/>
        <color rgb="FF000000"/>
        <sz val="10.0"/>
      </rPr>
      <t>Juan Jo</t>
    </r>
    <r>
      <rPr>
        <rFont val="Century Gothic"/>
        <b val="0"/>
        <color rgb="FF000000"/>
        <sz val="10.0"/>
      </rPr>
      <t>se Puluc Chaicoj</t>
    </r>
  </si>
  <si>
    <t>2 DE MARZO DE 2020</t>
  </si>
  <si>
    <r>
      <rPr>
        <rFont val="Century Gothic"/>
        <color rgb="FF000000"/>
        <sz val="10.0"/>
      </rPr>
      <t>Ani</t>
    </r>
    <r>
      <rPr>
        <rFont val="Century Gothic"/>
        <b/>
        <color rgb="FF000000"/>
        <sz val="10.0"/>
      </rPr>
      <t> Rubi</t>
    </r>
    <r>
      <rPr>
        <rFont val="Century Gothic"/>
        <color rgb="FF000000"/>
        <sz val="10.0"/>
      </rPr>
      <t> Lucero Gonzalez</t>
    </r>
  </si>
  <si>
    <t>4 DE MARZO DE 2020</t>
  </si>
  <si>
    <r>
      <rPr>
        <rFont val="Century Gothic"/>
        <b/>
        <color rgb="FF000000"/>
        <sz val="10.0"/>
      </rPr>
      <t>Jorge</t>
    </r>
    <r>
      <rPr>
        <rFont val="Century Gothic"/>
        <b val="0"/>
        <color rgb="FF000000"/>
        <sz val="10.0"/>
      </rPr>
      <t> Israel Reyes Valencia</t>
    </r>
  </si>
  <si>
    <t>Asesor + Redes AM</t>
  </si>
  <si>
    <t>2 DE DICIEMBRE DE 2019</t>
  </si>
  <si>
    <r>
      <rPr>
        <rFont val="Century Gothic"/>
        <b/>
        <color rgb="FF000000"/>
        <sz val="10.0"/>
      </rPr>
      <t>Ana</t>
    </r>
    <r>
      <rPr>
        <rFont val="Century Gothic"/>
        <b val="0"/>
        <color rgb="FF000000"/>
        <sz val="10.0"/>
      </rPr>
      <t> Marilú González de la Cruz</t>
    </r>
  </si>
  <si>
    <r>
      <rPr>
        <rFont val="Century Gothic"/>
        <b/>
        <color rgb="FF000000"/>
        <sz val="10.0"/>
      </rPr>
      <t>Marcela</t>
    </r>
    <r>
      <rPr>
        <rFont val="Century Gothic"/>
        <b val="0"/>
        <color rgb="FF000000"/>
        <sz val="10.0"/>
      </rPr>
      <t> Alessandra López Melgar</t>
    </r>
  </si>
  <si>
    <r>
      <rPr>
        <rFont val="Century Gothic"/>
        <b/>
        <color rgb="FF000000"/>
        <sz val="10.0"/>
      </rPr>
      <t>Karen</t>
    </r>
    <r>
      <rPr>
        <rFont val="Century Gothic"/>
        <b val="0"/>
        <color rgb="FF000000"/>
        <sz val="10.0"/>
      </rPr>
      <t> Lisbeth Vega Ramirez</t>
    </r>
  </si>
  <si>
    <t>Asesor + Redes PM</t>
  </si>
  <si>
    <t>16 DE AGOSTO DE 2021</t>
  </si>
  <si>
    <r>
      <rPr>
        <rFont val="Century Gothic"/>
        <color rgb="FF000000"/>
        <sz val="10.0"/>
      </rPr>
      <t>Jennifer </t>
    </r>
    <r>
      <rPr>
        <rFont val="Century Gothic"/>
        <b/>
        <color rgb="FF000000"/>
        <sz val="10.0"/>
      </rPr>
      <t>Alicia</t>
    </r>
    <r>
      <rPr>
        <rFont val="Century Gothic"/>
        <color rgb="FF000000"/>
        <sz val="10.0"/>
      </rPr>
      <t> Boror Rodriguez</t>
    </r>
  </si>
  <si>
    <t>20 DE ABRIL DE 2022</t>
  </si>
  <si>
    <t>Carina Alejandra Peliz Rebán</t>
  </si>
  <si>
    <t>Asesor + Redes Nocturno</t>
  </si>
  <si>
    <t>17 DE OCTUBRE DE 2011</t>
  </si>
  <si>
    <r>
      <rPr>
        <rFont val="Century Gothic"/>
        <b/>
        <color rgb="FF000000"/>
        <sz val="10.0"/>
      </rPr>
      <t>Velvet</t>
    </r>
    <r>
      <rPr>
        <rFont val="Century Gothic"/>
        <b val="0"/>
        <color rgb="FF000000"/>
        <sz val="10.0"/>
      </rPr>
      <t> Esmeralda Quiroz Godinez</t>
    </r>
  </si>
  <si>
    <r>
      <rPr>
        <rFont val="Century Gothic"/>
        <b/>
        <color rgb="FF000000"/>
        <sz val="10.0"/>
      </rPr>
      <t>Ruth</t>
    </r>
    <r>
      <rPr>
        <rFont val="Century Gothic"/>
        <b val="0"/>
        <color rgb="FF000000"/>
        <sz val="10.0"/>
      </rPr>
      <t> Adriana Giron Rodriguez</t>
    </r>
  </si>
  <si>
    <t>4 DE NOVIEMBRE DE 2021</t>
  </si>
  <si>
    <r>
      <rPr>
        <rFont val="Century Gothic"/>
        <b/>
        <color rgb="FF000000"/>
        <sz val="10.0"/>
      </rPr>
      <t>Cindi</t>
    </r>
    <r>
      <rPr>
        <rFont val="Century Gothic"/>
        <b val="0"/>
        <color rgb="FF000000"/>
        <sz val="10.0"/>
      </rPr>
      <t> Patricia Sipaque Zuleta</t>
    </r>
  </si>
  <si>
    <r>
      <rPr>
        <rFont val="Century Gothic"/>
        <b/>
        <color rgb="FF000000"/>
        <sz val="10.0"/>
      </rPr>
      <t>Yoselin</t>
    </r>
    <r>
      <rPr>
        <rFont val="Century Gothic"/>
        <b val="0"/>
        <color rgb="FF000000"/>
        <sz val="10.0"/>
      </rPr>
      <t> Delfina Lucas Juarez</t>
    </r>
  </si>
  <si>
    <t>Asesor + Redes Madrugada</t>
  </si>
  <si>
    <r>
      <rPr>
        <rFont val="Century Gothic"/>
        <color rgb="FF000000"/>
        <sz val="10.0"/>
      </rPr>
      <t>Ingrid</t>
    </r>
    <r>
      <rPr>
        <rFont val="Century Gothic"/>
        <b/>
        <color rgb="FF000000"/>
        <sz val="10.0"/>
      </rPr>
      <t> Rebe</t>
    </r>
    <r>
      <rPr>
        <rFont val="Century Gothic"/>
        <color rgb="FF000000"/>
        <sz val="10.0"/>
      </rPr>
      <t>ca Santizo Lopez</t>
    </r>
  </si>
  <si>
    <t>Asesor</t>
  </si>
  <si>
    <t>1 DE DICIEMBRE DE 2010</t>
  </si>
  <si>
    <r>
      <rPr>
        <rFont val="Century Gothic"/>
        <b/>
        <color rgb="FF000000"/>
        <sz val="10.0"/>
      </rPr>
      <t>Consuelo</t>
    </r>
    <r>
      <rPr>
        <rFont val="Century Gothic"/>
        <b val="0"/>
        <color rgb="FF000000"/>
        <sz val="10.0"/>
      </rPr>
      <t> Magali Herrarte Bautista</t>
    </r>
  </si>
  <si>
    <t>Daisy Yomara Mateo</t>
  </si>
  <si>
    <t>20 DE NOVIEMBRE DE 2020</t>
  </si>
  <si>
    <r>
      <rPr>
        <rFont val="Century Gothic"/>
        <color rgb="FF000000"/>
        <sz val="10.0"/>
      </rPr>
      <t>Nancy </t>
    </r>
    <r>
      <rPr>
        <rFont val="Century Gothic"/>
        <b/>
        <color rgb="FF000000"/>
        <sz val="10.0"/>
      </rPr>
      <t>Bea</t>
    </r>
    <r>
      <rPr>
        <rFont val="Century Gothic"/>
        <color rgb="FF000000"/>
        <sz val="10.0"/>
      </rPr>
      <t>triz Pedroza</t>
    </r>
  </si>
  <si>
    <t>21 DE OCTUBRE DE 2021</t>
  </si>
  <si>
    <r>
      <rPr>
        <rFont val="Century Gothic"/>
        <color rgb="FF000000"/>
        <sz val="10.0"/>
      </rPr>
      <t>Hilda</t>
    </r>
    <r>
      <rPr>
        <rFont val="Century Gothic"/>
        <b/>
        <color rgb="FF000000"/>
        <sz val="10.0"/>
      </rPr>
      <t> Sofia </t>
    </r>
    <r>
      <rPr>
        <rFont val="Century Gothic"/>
        <color rgb="FF000000"/>
        <sz val="10.0"/>
      </rPr>
      <t>Gonzalez de Leon</t>
    </r>
  </si>
  <si>
    <t>01 DE AGOSTO DE 2022</t>
  </si>
  <si>
    <t>Lydicen Anabelly Navarijo Padilla</t>
  </si>
  <si>
    <t>Carlo Giordano Caballeros Morales</t>
  </si>
  <si>
    <t>Isidra Janneth Ixtos Mendez</t>
  </si>
  <si>
    <t>Osiris Azucena Leiva Leon</t>
  </si>
  <si>
    <t>02 DE NOVIEMBRE DE 2022</t>
  </si>
  <si>
    <t>Karla Isabel Hernandez Rivas</t>
  </si>
  <si>
    <t>Anthony Stiven Yucute Aragon</t>
  </si>
  <si>
    <t>Daylin Paulette Quiroa Quiroa</t>
  </si>
  <si>
    <t>16 DE NOVIEMBRE DE 2022</t>
  </si>
  <si>
    <t>Nora Azucena Sanchez Rodriguez</t>
  </si>
  <si>
    <t>Benjamin Max Israel Boc Vicente</t>
  </si>
  <si>
    <t>Dorian Estefany Sit Santos</t>
  </si>
  <si>
    <t>03 DE ENERO DE 2023</t>
  </si>
  <si>
    <t>Cristian Eduardo Xiloj Zamor</t>
  </si>
  <si>
    <t>Oscar Rene Ovalle Letran</t>
  </si>
  <si>
    <t>01 DE FEBRERO DE 2023</t>
  </si>
  <si>
    <t>Elizabeth Georgina Hernandez Campos</t>
  </si>
  <si>
    <t>Byron Abdiel Santos Mejia</t>
  </si>
  <si>
    <t>Erick Gabriel Velasquez Marroquin</t>
  </si>
  <si>
    <t>16 DE MARZO DE 2023</t>
  </si>
  <si>
    <t>Marleni Elizabeth Orozco Carrera</t>
  </si>
  <si>
    <t>Yissa Julavy Aquino Garcia</t>
  </si>
  <si>
    <t>Katherin Gabriela Monzon Vivar</t>
  </si>
  <si>
    <t>Ventura Glenda Paola Echeveria Perez</t>
  </si>
  <si>
    <t>Laura Lucia Rabanales Oliva</t>
  </si>
  <si>
    <t>Elizabeth Johanna Reyna Cardenas</t>
  </si>
  <si>
    <t>16 DE MAYO DE 2023</t>
  </si>
  <si>
    <t>Dorcas Merari Rodriguez Lopez</t>
  </si>
  <si>
    <t>Edgar Marin Espinoza Maldonado</t>
  </si>
  <si>
    <t>Ilse Beatriz Perez Roque</t>
  </si>
  <si>
    <t>Edli Adriana Escobar Garcia</t>
  </si>
  <si>
    <t>01 DE JUNIO DE 2023</t>
  </si>
  <si>
    <t>Samuel Eduardo Guzman Aragon</t>
  </si>
  <si>
    <t>Marlyn Argentina Aguilar Lemus</t>
  </si>
  <si>
    <t>Mariela Edith Torres Figueroa</t>
  </si>
  <si>
    <t>16 DE JUNIO DE 2023</t>
  </si>
  <si>
    <t>Byron Estuardo Grijalva Salguero</t>
  </si>
  <si>
    <t>Katherine Johana Chavez Deleon</t>
  </si>
  <si>
    <t>Cinthia Marbelly Lopez Zelada</t>
  </si>
  <si>
    <t>Melanee Sucely Lopez Castro</t>
  </si>
  <si>
    <t>05 DE JULIO DE 2023</t>
  </si>
  <si>
    <t> 102480</t>
  </si>
  <si>
    <t>12339 </t>
  </si>
  <si>
    <t>Paulo Daniel Martinez Balcarcel</t>
  </si>
  <si>
    <t> 102485</t>
  </si>
  <si>
    <t> 12344</t>
  </si>
  <si>
    <t>Ruth Nohemi Rosales Perez</t>
  </si>
  <si>
    <t> 102482</t>
  </si>
  <si>
    <t> 12341</t>
  </si>
  <si>
    <t>Cristian Manuel Lopez Chavez</t>
  </si>
  <si>
    <t> 102483</t>
  </si>
  <si>
    <t>12342 </t>
  </si>
  <si>
    <t>Rosbin Omar Salazar Pacay</t>
  </si>
  <si>
    <t> 102486</t>
  </si>
  <si>
    <t>12345 </t>
  </si>
  <si>
    <t>Cindi Yorleni Godinez Silea de Eguizabal</t>
  </si>
  <si>
    <t> 102481</t>
  </si>
  <si>
    <t>12340 </t>
  </si>
  <si>
    <t>Selvin Manolo Rajpop Ajuchan</t>
  </si>
  <si>
    <t> 102487</t>
  </si>
  <si>
    <t>12346 </t>
  </si>
  <si>
    <t>Lleny Yolanda Asetun Jeronimo de Mateo</t>
  </si>
  <si>
    <t> 102479</t>
  </si>
  <si>
    <t>12338 </t>
  </si>
  <si>
    <t>Abner Alexander Curruchich Diaz</t>
  </si>
  <si>
    <t> 102484</t>
  </si>
  <si>
    <t>12343 </t>
  </si>
  <si>
    <t>Erick Alejandro Avea Rivera</t>
  </si>
  <si>
    <t>Johanna Elizabeth Rodriguez Bustamante</t>
  </si>
  <si>
    <t>HORARIOS MES SEPTIEMBRE 2023</t>
  </si>
  <si>
    <t>No.</t>
  </si>
  <si>
    <t>AGENTE #</t>
  </si>
  <si>
    <t>SISTEMA</t>
  </si>
  <si>
    <t>AGENTES</t>
  </si>
  <si>
    <t>Nombre</t>
  </si>
  <si>
    <t>Lugar</t>
  </si>
  <si>
    <t>Lugar de Trabajo</t>
  </si>
  <si>
    <t>Extencion</t>
  </si>
  <si>
    <t>a</t>
  </si>
  <si>
    <t>b</t>
  </si>
  <si>
    <t>Agente 001</t>
  </si>
  <si>
    <t>Agente 001 (Agente 001)</t>
  </si>
  <si>
    <t>Agente 1</t>
  </si>
  <si>
    <t>Nancy Beatriz Pedroza</t>
  </si>
  <si>
    <t>VIENE TODOS LOS SABADOS</t>
  </si>
  <si>
    <t>Agente 002</t>
  </si>
  <si>
    <t>Agente 002 (Agente 002)</t>
  </si>
  <si>
    <t>Agente 2</t>
  </si>
  <si>
    <t>Carina Alejandra Peliz Reban</t>
  </si>
  <si>
    <t>REDES</t>
  </si>
  <si>
    <t>no sabado</t>
  </si>
  <si>
    <t>NO VIENE SABADOS</t>
  </si>
  <si>
    <t>Agente 003</t>
  </si>
  <si>
    <t>Agente 003 (Agente 003)</t>
  </si>
  <si>
    <t>Agente 3</t>
  </si>
  <si>
    <t>Antigua / Vacia</t>
  </si>
  <si>
    <t>Agente 004</t>
  </si>
  <si>
    <t>Agente 004 (Agente 004)</t>
  </si>
  <si>
    <t>Agente 4</t>
  </si>
  <si>
    <t>SOPORTE</t>
  </si>
  <si>
    <t>Agente 005</t>
  </si>
  <si>
    <t>Agente 005 (Agente 005)</t>
  </si>
  <si>
    <t>Agente 5</t>
  </si>
  <si>
    <t>Carlo Giordiano Caballero Morales</t>
  </si>
  <si>
    <t>Agente 006</t>
  </si>
  <si>
    <t>Agente 006 (Agente 006)</t>
  </si>
  <si>
    <t>Agente 6</t>
  </si>
  <si>
    <t>Ani Rubi Lucero Gonzalez</t>
  </si>
  <si>
    <t>solo vendría media hora más temprano miercoles y viernes para salir 530</t>
  </si>
  <si>
    <t>Agente 007</t>
  </si>
  <si>
    <t>Agente 007 (Agente 007)</t>
  </si>
  <si>
    <t>Ani Rubi Lucero Gonzalez</t>
  </si>
  <si>
    <r>
      <rPr>
        <rFont val="Calibri"/>
        <color rgb="FF000000"/>
        <sz val="11.0"/>
      </rPr>
      <t>Ani</t>
    </r>
    <r>
      <rPr>
        <rFont val="Calibri"/>
        <color rgb="FF000000"/>
        <sz val="10.0"/>
      </rPr>
      <t> Rubi Lucero Gonzalez</t>
    </r>
  </si>
  <si>
    <t>Agente 7</t>
  </si>
  <si>
    <t>Hilda Sofia Gonzalez De León</t>
  </si>
  <si>
    <t>Agente 008</t>
  </si>
  <si>
    <t>Agente 008 (Agente 008)</t>
  </si>
  <si>
    <t>Hilda Sofia Gonzalez de Leon</t>
  </si>
  <si>
    <r>
      <rPr>
        <rFont val="Calibri"/>
        <color rgb="FF000000"/>
        <sz val="11.0"/>
      </rPr>
      <t>Hilda</t>
    </r>
    <r>
      <rPr>
        <rFont val="Calibri"/>
        <color rgb="FF000000"/>
        <sz val="10.0"/>
      </rPr>
      <t> Sofia Gonzalez de Leon</t>
    </r>
  </si>
  <si>
    <t>Agente 8</t>
  </si>
  <si>
    <t>Salir a las 5</t>
  </si>
  <si>
    <t>Agente 011</t>
  </si>
  <si>
    <t>Agente 011 (Agente 011)</t>
  </si>
  <si>
    <t>Emely Andrea Eguizabal Mayen</t>
  </si>
  <si>
    <t>Agente 009</t>
  </si>
  <si>
    <t>Agente 009 (Agente 009)</t>
  </si>
  <si>
    <t>Agente 9</t>
  </si>
  <si>
    <t>Jorge Israel Reyes Valencia</t>
  </si>
  <si>
    <t>Agente 013</t>
  </si>
  <si>
    <t>Agente 013 (Agente 013)</t>
  </si>
  <si>
    <t>Agente 010</t>
  </si>
  <si>
    <t>Agente 010 (Agente 010)</t>
  </si>
  <si>
    <t>Agente 10</t>
  </si>
  <si>
    <t>Marcos Geovanny Coronado Giron</t>
  </si>
  <si>
    <t>Agente 014</t>
  </si>
  <si>
    <t>Agente 014 (Agente 014)</t>
  </si>
  <si>
    <t>Agente 11</t>
  </si>
  <si>
    <t>Anyely Eunice Florian Florian</t>
  </si>
  <si>
    <t>Agente 015</t>
  </si>
  <si>
    <t>Agente 015 (Agente 015)</t>
  </si>
  <si>
    <t>Anyely Eunice Florian y Florian</t>
  </si>
  <si>
    <t>Agente 012</t>
  </si>
  <si>
    <t>Agente 012 (Agente 012)</t>
  </si>
  <si>
    <t>Agente 12</t>
  </si>
  <si>
    <t>Jennifer Alicia Boror Rodriguez</t>
  </si>
  <si>
    <t>Agente 016</t>
  </si>
  <si>
    <t>Agente 016 (Agente 016)</t>
  </si>
  <si>
    <t>Jennifer Alicia Boror Rodriguez</t>
  </si>
  <si>
    <r>
      <rPr>
        <rFont val="Calibri"/>
        <color rgb="FF000000"/>
        <sz val="11.0"/>
      </rPr>
      <t>Jennifer </t>
    </r>
    <r>
      <rPr>
        <rFont val="Calibri"/>
        <color rgb="FF000000"/>
        <sz val="10.0"/>
      </rPr>
      <t>Alicia Boror Rodriguez</t>
    </r>
  </si>
  <si>
    <t>Agente 13</t>
  </si>
  <si>
    <t>Agente 017</t>
  </si>
  <si>
    <t>Agente 017 (Agente 017)</t>
  </si>
  <si>
    <t>Elvia Marizol Mendoza Flores</t>
  </si>
  <si>
    <t>Agente 14</t>
  </si>
  <si>
    <t>Juan José Puluc Chaicoj</t>
  </si>
  <si>
    <t>Agente 019</t>
  </si>
  <si>
    <t>Agente 019 (Agente 019)</t>
  </si>
  <si>
    <t>Juan Jose Puluc Chaicoj</t>
  </si>
  <si>
    <t>Agente 15</t>
  </si>
  <si>
    <t>AGENTE RM</t>
  </si>
  <si>
    <t>Agente 020</t>
  </si>
  <si>
    <t>Agente 020 (Agente 020)</t>
  </si>
  <si>
    <t>Agente 16</t>
  </si>
  <si>
    <t>Cindy Melissa Aroche Ortiz</t>
  </si>
  <si>
    <t>CONTROL</t>
  </si>
  <si>
    <t>Agente 021</t>
  </si>
  <si>
    <t>Agente 021 (Agente 021)</t>
  </si>
  <si>
    <t>Cindy Melissa Aroche Ortiz</t>
  </si>
  <si>
    <r>
      <rPr>
        <rFont val="Calibri"/>
        <color rgb="FF000000"/>
        <sz val="11.0"/>
      </rPr>
      <t>Cindy </t>
    </r>
    <r>
      <rPr>
        <rFont val="Calibri"/>
        <color rgb="FF000000"/>
        <sz val="10.0"/>
      </rPr>
      <t>Melissa Aroche Ortiz</t>
    </r>
  </si>
  <si>
    <t>Agente 17</t>
  </si>
  <si>
    <t>Entrar a las 7</t>
  </si>
  <si>
    <t>Agente 022</t>
  </si>
  <si>
    <t>Agente 022 (Agente 022)</t>
  </si>
  <si>
    <t>Agente 018</t>
  </si>
  <si>
    <t>Agente 018 (Agente 018)</t>
  </si>
  <si>
    <t>Agente 18</t>
  </si>
  <si>
    <t>Velvet Esmeralda Quiroz Godinez</t>
  </si>
  <si>
    <t>Agente 024</t>
  </si>
  <si>
    <t>Agente 024 (Agente 024)</t>
  </si>
  <si>
    <t>Agente 19</t>
  </si>
  <si>
    <t>Marcela Alessandra López Melgar</t>
  </si>
  <si>
    <t>Agente 027</t>
  </si>
  <si>
    <t>Agente 027 (Agente 027)</t>
  </si>
  <si>
    <t>Agente 20</t>
  </si>
  <si>
    <t>Ana Marilú González de la Cruz</t>
  </si>
  <si>
    <t>Agente 028</t>
  </si>
  <si>
    <t>Agente 028 (agente 028)</t>
  </si>
  <si>
    <t>Agente 21</t>
  </si>
  <si>
    <t>Ingrid Rebeca Santizo Lopez</t>
  </si>
  <si>
    <t>AGENTE APERTURA</t>
  </si>
  <si>
    <t>Agente 029</t>
  </si>
  <si>
    <t>Agente 029 (Agente 029)</t>
  </si>
  <si>
    <t>Ingrid Rebeca Santizo Lopez</t>
  </si>
  <si>
    <r>
      <rPr>
        <rFont val="Calibri"/>
        <color rgb="FF000000"/>
        <sz val="11.0"/>
      </rPr>
      <t>Ingrid</t>
    </r>
    <r>
      <rPr>
        <rFont val="Calibri"/>
        <color rgb="FF000000"/>
        <sz val="10.0"/>
      </rPr>
      <t> Rebeca Santizo Lopez</t>
    </r>
  </si>
  <si>
    <t>Agente 22</t>
  </si>
  <si>
    <t>Agente 030</t>
  </si>
  <si>
    <t>Agente 030 (Agente 030)</t>
  </si>
  <si>
    <t>Ruth Adriana Giron Rodriguez</t>
  </si>
  <si>
    <t>Agente 023</t>
  </si>
  <si>
    <t>Agente 023 (Agente 023)</t>
  </si>
  <si>
    <t>Agente 23</t>
  </si>
  <si>
    <t>Agente 031</t>
  </si>
  <si>
    <t>Agente 031 (Agente 031)</t>
  </si>
  <si>
    <t>Agente 24</t>
  </si>
  <si>
    <t>Karen Lisbeth Vega Ramirez</t>
  </si>
  <si>
    <t>Agente 033</t>
  </si>
  <si>
    <t>Agente 033 (Agente 033)</t>
  </si>
  <si>
    <t>Agente 025</t>
  </si>
  <si>
    <t>Agente 025 (Agente 025)</t>
  </si>
  <si>
    <t>Agente 25</t>
  </si>
  <si>
    <t>Agente 034</t>
  </si>
  <si>
    <t>Agente 034 (Agente 034)</t>
  </si>
  <si>
    <t>Agente 026</t>
  </si>
  <si>
    <t>Agente 026 (Agente 026)</t>
  </si>
  <si>
    <t>Agente 26</t>
  </si>
  <si>
    <t>Gabriela Abigail Guzman Diaz</t>
  </si>
  <si>
    <t>Agente 035</t>
  </si>
  <si>
    <t>Agente 035 (Agente 035)</t>
  </si>
  <si>
    <t>Agente 27</t>
  </si>
  <si>
    <t>Consuelo Magali Herrarte Bautista</t>
  </si>
  <si>
    <t>Agente 036</t>
  </si>
  <si>
    <t>Agente 036 (Agente 036)</t>
  </si>
  <si>
    <t>Agente 28</t>
  </si>
  <si>
    <t>Agente 037</t>
  </si>
  <si>
    <t>Agente 037 (Agente 037)</t>
  </si>
  <si>
    <t>Cindi Patricia Sipaque Zuleta</t>
  </si>
  <si>
    <t>Agente 29</t>
  </si>
  <si>
    <t>Agente 30</t>
  </si>
  <si>
    <t>Yoselin Delfina Lucas Juárez</t>
  </si>
  <si>
    <t>Yoselin Delfina Lucas Juarez</t>
  </si>
  <si>
    <t>Agente 31</t>
  </si>
  <si>
    <t>Marleny Elizabeth Orozco Carrera</t>
  </si>
  <si>
    <t>Agente 032</t>
  </si>
  <si>
    <t>Agente 032 (Agente 032)</t>
  </si>
  <si>
    <t>Agente 32</t>
  </si>
  <si>
    <t>Agente 33</t>
  </si>
  <si>
    <t>Sammy David Ortiz Aguirre</t>
  </si>
  <si>
    <t>Agente 34</t>
  </si>
  <si>
    <t>Diego Leonardo Patzan Patzan</t>
  </si>
  <si>
    <t>Andrea Estela Jacobo Morales</t>
  </si>
  <si>
    <r>
      <rPr>
        <rFont val="Calibri"/>
        <color rgb="FF000000"/>
        <sz val="11.0"/>
      </rPr>
      <t>Andrea</t>
    </r>
    <r>
      <rPr>
        <rFont val="Calibri"/>
        <color rgb="FF000000"/>
        <sz val="10.0"/>
      </rPr>
      <t> Estela Jacobo Morales</t>
    </r>
  </si>
  <si>
    <t>Agente 35</t>
  </si>
  <si>
    <t>Agente 36</t>
  </si>
  <si>
    <t xml:space="preserve">Catherine Patricia Castillo Monzon </t>
  </si>
  <si>
    <t>sabado de 730 a 1230</t>
  </si>
  <si>
    <t>Agente 37</t>
  </si>
  <si>
    <t>Agente 038</t>
  </si>
  <si>
    <t>Agente 038 (Agente 038)</t>
  </si>
  <si>
    <t>Agente 38</t>
  </si>
  <si>
    <t>Asistente 001</t>
  </si>
  <si>
    <t>Asistente 001 (Asistente 001)</t>
  </si>
  <si>
    <t>Asistente 1</t>
  </si>
  <si>
    <t>Lilian Josefina Ramirez Estrada</t>
  </si>
  <si>
    <t>SUPERVISORA</t>
  </si>
  <si>
    <t>Asistente 002</t>
  </si>
  <si>
    <t>Asistente 002 (Asistente 002)</t>
  </si>
  <si>
    <t>Asistente 2</t>
  </si>
  <si>
    <t>Wilson Saúl Gómez Mendoza</t>
  </si>
  <si>
    <t>Asistente 003</t>
  </si>
  <si>
    <t>Asistente 003 (Asistente 003)</t>
  </si>
  <si>
    <t>Asistente 3</t>
  </si>
  <si>
    <t>Carmen Yanira Brán Oliva</t>
  </si>
  <si>
    <t>CAPACITACION</t>
  </si>
  <si>
    <t>Asistente 004</t>
  </si>
  <si>
    <t>Asistente 004 (Asistente 004)</t>
  </si>
  <si>
    <t>Asistente 4</t>
  </si>
  <si>
    <t>Katherine Nicole Colmenares Véliz</t>
  </si>
  <si>
    <t>Agente 045</t>
  </si>
  <si>
    <t>Agente 045 (Agente 045)</t>
  </si>
  <si>
    <t>Agente 45</t>
  </si>
  <si>
    <t>Laptop</t>
  </si>
  <si>
    <t>Lap</t>
  </si>
  <si>
    <t>Agente 046</t>
  </si>
  <si>
    <t>Agente 046 (Agente 046)</t>
  </si>
  <si>
    <t>Agente 46</t>
  </si>
  <si>
    <t>Agente 047</t>
  </si>
  <si>
    <t>Agente 047 (Agente 047)</t>
  </si>
  <si>
    <t>Agente 47</t>
  </si>
  <si>
    <t>Brenda</t>
  </si>
  <si>
    <t>Agente 048</t>
  </si>
  <si>
    <t>Agente 049 (Agente 048)</t>
  </si>
  <si>
    <t>Agente 48</t>
  </si>
  <si>
    <t>Marvin</t>
  </si>
  <si>
    <t>Agente 050</t>
  </si>
  <si>
    <t>Agente 050 (Agente 050)</t>
  </si>
  <si>
    <t>Agente 50</t>
  </si>
  <si>
    <t>Karla Isabel Herandez Rivas</t>
  </si>
  <si>
    <t>LAPTOP</t>
  </si>
  <si>
    <t>Agente 051</t>
  </si>
  <si>
    <t>Agente 051 (Agente 051)</t>
  </si>
  <si>
    <t>Agente 51</t>
  </si>
  <si>
    <t>Anthony Stiven Yocute Aragon</t>
  </si>
  <si>
    <t>9 am a 6 pm sabado 730 a 1230</t>
  </si>
  <si>
    <t>Agente 052</t>
  </si>
  <si>
    <t>Agente 052 (Agente 052)</t>
  </si>
  <si>
    <t>Agente 52</t>
  </si>
  <si>
    <t>AGENTE CIERRE</t>
  </si>
  <si>
    <t>Nueva / vacia</t>
  </si>
  <si>
    <t>Agente 053</t>
  </si>
  <si>
    <t>Agente 053 (Agente 053)</t>
  </si>
  <si>
    <t>Agente 53</t>
  </si>
  <si>
    <t>Agente 054</t>
  </si>
  <si>
    <t>Agente 054 (Agente 054)</t>
  </si>
  <si>
    <t>Agente 54</t>
  </si>
  <si>
    <t>Estudia sabado vienes salir a las 5</t>
  </si>
  <si>
    <t>Agente 055</t>
  </si>
  <si>
    <t>Agente 055 (Agente 055)</t>
  </si>
  <si>
    <t>Agente 55</t>
  </si>
  <si>
    <t>Agente 056</t>
  </si>
  <si>
    <t>Agente 056 (Agente 056)</t>
  </si>
  <si>
    <t>Agente 56</t>
  </si>
  <si>
    <t>Agente 057</t>
  </si>
  <si>
    <t>Agente 057 (Agente 057)</t>
  </si>
  <si>
    <t>Agente 57</t>
  </si>
  <si>
    <t>Agente 058</t>
  </si>
  <si>
    <t>Agente 058 (Agente 058)</t>
  </si>
  <si>
    <t>Agente 58</t>
  </si>
  <si>
    <t>Agente 059</t>
  </si>
  <si>
    <t>Agente 059 (Agente 059)</t>
  </si>
  <si>
    <t>Agente 59</t>
  </si>
  <si>
    <t>Agente 060</t>
  </si>
  <si>
    <t>Agente 060 (Agente 060)</t>
  </si>
  <si>
    <t>Agente 60</t>
  </si>
  <si>
    <t>Agente 061</t>
  </si>
  <si>
    <t>Agente 061 (Agente 061)</t>
  </si>
  <si>
    <t>Agente 61</t>
  </si>
  <si>
    <t>Agente 062</t>
  </si>
  <si>
    <t>Agente 062 (Agente 062)</t>
  </si>
  <si>
    <t>Agente 62</t>
  </si>
  <si>
    <t>Agente 063</t>
  </si>
  <si>
    <t>Agente 063 (Agente 063)</t>
  </si>
  <si>
    <t>Agente 63</t>
  </si>
  <si>
    <t>Agente 064</t>
  </si>
  <si>
    <t>Agente 064 (Agente 064)</t>
  </si>
  <si>
    <t>Agente 64</t>
  </si>
  <si>
    <t>Agente 065</t>
  </si>
  <si>
    <t>Agente 065 (Agente 065)</t>
  </si>
  <si>
    <t>Agente 65</t>
  </si>
  <si>
    <t>Agente 066</t>
  </si>
  <si>
    <t>Agente 066 (Agente 066)</t>
  </si>
  <si>
    <t>Agente 66</t>
  </si>
  <si>
    <t>Agente 067</t>
  </si>
  <si>
    <t>Agente 067 (Agente 067)</t>
  </si>
  <si>
    <t>Agente 67</t>
  </si>
  <si>
    <t>Cindi Yorleni Godinez Siles de Eguizabal</t>
  </si>
  <si>
    <t>Agente 068</t>
  </si>
  <si>
    <t>Agente 068 (Agente 068)</t>
  </si>
  <si>
    <t>Agente 68</t>
  </si>
  <si>
    <t>Agente 069</t>
  </si>
  <si>
    <t>Agente 069 (Agente 069)</t>
  </si>
  <si>
    <t>Agente 69</t>
  </si>
  <si>
    <r>
      <rPr>
        <rFont val="Calibri"/>
        <color rgb="FF000000"/>
        <sz val="11.0"/>
      </rPr>
      <t>Katherine </t>
    </r>
    <r>
      <rPr>
        <rFont val="Calibri"/>
        <color rgb="FF000000"/>
        <sz val="10.0"/>
      </rPr>
      <t>Nicole Colmenares Véliz</t>
    </r>
  </si>
  <si>
    <t>Agente 070</t>
  </si>
  <si>
    <t>Agente 070 (Agente 070)</t>
  </si>
  <si>
    <t>Agente 70</t>
  </si>
  <si>
    <t>Agente 071</t>
  </si>
  <si>
    <t>Agente 071 (Agente 071)</t>
  </si>
  <si>
    <t>Agente 71</t>
  </si>
  <si>
    <t>Agente 072</t>
  </si>
  <si>
    <t>Agente 072 (Agente 072)</t>
  </si>
  <si>
    <t>Agente 72</t>
  </si>
  <si>
    <t>Agente 073</t>
  </si>
  <si>
    <t>Agente 073 (Agente 073)</t>
  </si>
  <si>
    <t>Agente 73</t>
  </si>
  <si>
    <t>Agente 074</t>
  </si>
  <si>
    <t>Agente 074 (Agente 074)</t>
  </si>
  <si>
    <t>Agente 74</t>
  </si>
  <si>
    <t>Agente 075</t>
  </si>
  <si>
    <t>Agente 075 (Agente 075)</t>
  </si>
  <si>
    <t>Agente 75</t>
  </si>
  <si>
    <t>Agente 076</t>
  </si>
  <si>
    <t>Agente 076 (Agente 076)</t>
  </si>
  <si>
    <t>Agente 76</t>
  </si>
  <si>
    <t>Agente 077</t>
  </si>
  <si>
    <t>Agente 077 (Agente 077)</t>
  </si>
  <si>
    <t>Agente 77</t>
  </si>
  <si>
    <t>Agente 078</t>
  </si>
  <si>
    <t>Agente 078 (Agente 078)</t>
  </si>
  <si>
    <t>Agente 78</t>
  </si>
  <si>
    <t>Agente 079</t>
  </si>
  <si>
    <t>Agente 079 (Agente 079)</t>
  </si>
  <si>
    <t>Agente 79</t>
  </si>
  <si>
    <t>Agente 080</t>
  </si>
  <si>
    <t>Agente 080 (Agente 080)</t>
  </si>
  <si>
    <t>Agente 80</t>
  </si>
  <si>
    <t>Agente 081</t>
  </si>
  <si>
    <t>Agente 081 (Agente 081)</t>
  </si>
  <si>
    <t>Agente 81</t>
  </si>
  <si>
    <t>Agente 082</t>
  </si>
  <si>
    <t>Agente 082 (Agente 082)</t>
  </si>
  <si>
    <t>Agente 82</t>
  </si>
  <si>
    <t>HORARIOS SEPTIEMBRE 2023</t>
  </si>
  <si>
    <t>SEMANA</t>
  </si>
  <si>
    <t>Lunes a Viernes</t>
  </si>
  <si>
    <t>Total Dia</t>
  </si>
  <si>
    <t>Total Sabado</t>
  </si>
  <si>
    <t>Horario Entrada</t>
  </si>
  <si>
    <t>Horario Salida</t>
  </si>
  <si>
    <t>Fechas Septiembre 2023</t>
  </si>
  <si>
    <t>#1</t>
  </si>
  <si>
    <t># Semana</t>
  </si>
  <si>
    <t>Martes</t>
  </si>
  <si>
    <t>Miercoles</t>
  </si>
  <si>
    <t>Jueves</t>
  </si>
  <si>
    <t>Viernes</t>
  </si>
  <si>
    <t>Sábado</t>
  </si>
  <si>
    <t>Domingo</t>
  </si>
  <si>
    <t>#2</t>
  </si>
  <si>
    <t>#3</t>
  </si>
  <si>
    <t>#4</t>
  </si>
  <si>
    <t>Numero de Agente</t>
  </si>
  <si>
    <t>Nombre agente</t>
  </si>
  <si>
    <t>Semana #</t>
  </si>
  <si>
    <t>Entrada</t>
  </si>
  <si>
    <t>Salida</t>
  </si>
  <si>
    <t>Inicio Almuerzo</t>
  </si>
  <si>
    <t>Termina Almuerzo</t>
  </si>
  <si>
    <t>Incio Break 1</t>
  </si>
  <si>
    <t>Termina Break 1</t>
  </si>
  <si>
    <t xml:space="preserve">Incio Break 2 </t>
  </si>
  <si>
    <t>Termina Break 2</t>
  </si>
  <si>
    <t>Seleccione semana que quiere ver:</t>
  </si>
  <si>
    <t>(Varios elementos)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</si>
</sst>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0">
    <font>
      <sz val="11.0"/>
      <color/>
      <name val="Arial"/>
      <scheme val="minor"/>
    </font>
    <font>
      <sz val="10.0"/>
      <color/>
      <name val="Calibri"/>
    </font>
    <font>
      <sz val="11.0"/>
      <color/>
      <name val="Calibri"/>
    </font>
    <font/>
    <font>
      <b/>
      <sz val="12.0"/>
      <color rgb="FFFFFFFF"/>
      <name val="Century Gothic"/>
    </font>
    <font>
      <sz val="10.0"/>
      <color rgb="FF000000"/>
      <name val="Century Gothic"/>
    </font>
    <font>
      <sz val="12.0"/>
      <color rgb="FF000000"/>
      <name val="Century Gothic"/>
    </font>
    <font>
      <b/>
      <sz val="10.0"/>
      <color rgb="FF000000"/>
      <name val="Century Gothic"/>
    </font>
    <font>
      <sz val="12.0"/>
      <color rgb="FF000000"/>
      <name val="Calibri"/>
    </font>
    <font>
      <sz val="12.0"/>
      <color rgb="FF000000"/>
      <name val="Arial"/>
    </font>
    <font>
      <b/>
      <sz val="20.0"/>
      <color/>
      <name val="Calibri"/>
    </font>
    <font>
      <sz val="11.0"/>
      <color rgb="FF000000"/>
      <name val="Calibri"/>
    </font>
    <font>
      <sz val="10.0"/>
      <color rgb="FF000000"/>
      <name val="Calibri"/>
    </font>
    <font>
      <u/>
      <sz val="11.0"/>
      <color/>
      <name val="Calibri"/>
    </font>
    <font>
      <b/>
      <sz val="36.0"/>
      <color/>
      <name val="Calibri"/>
    </font>
    <font>
      <sz val="9.0"/>
      <color/>
      <name val="Calibri"/>
    </font>
    <font>
      <sz val="8.0"/>
      <color/>
      <name val="Calibri"/>
    </font>
    <font>
      <sz val="14.0"/>
      <color/>
      <name val="Calibri"/>
    </font>
    <font>
      <b/>
      <sz val="10.0"/>
      <color/>
      <name val="Calibri"/>
    </font>
    <font>
      <b/>
      <sz val="11.0"/>
      <color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2D508F"/>
        <bgColor rgb="FF2D508F"/>
      </patternFill>
    </fill>
    <fill>
      <patternFill patternType="solid">
        <fgColor rgb="FFECECEC"/>
        <bgColor rgb="FFECECEC"/>
      </patternFill>
    </fill>
    <fill>
      <patternFill patternType="solid">
        <fgColor rgb="FFBDD6EE"/>
        <bgColor rgb="FFBDD6EE"/>
      </patternFill>
    </fill>
    <fill>
      <patternFill patternType="solid">
        <fgColor rgb="FFF4B083"/>
        <bgColor rgb="FFF4B083"/>
      </patternFill>
    </fill>
    <fill>
      <patternFill patternType="solid">
        <fgColor rgb="FF203764"/>
        <bgColor rgb="FF203764"/>
      </patternFill>
    </fill>
    <fill>
      <patternFill patternType="solid">
        <fgColor rgb="FFFFFFFF"/>
        <bgColor rgb="FFFFFFFF"/>
      </patternFill>
    </fill>
    <fill>
      <patternFill patternType="solid">
        <fgColor rgb="FFFF8F8F"/>
        <bgColor rgb="FFFF8F8F"/>
      </patternFill>
    </fill>
    <fill>
      <patternFill patternType="solid">
        <fgColor rgb="FF1E4E79"/>
        <bgColor rgb="FF1E4E79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rgb="FFC55A11"/>
        <bgColor rgb="FFC55A11"/>
      </patternFill>
    </fill>
    <fill>
      <patternFill patternType="solid">
        <fgColor rgb="FF9CC2E5"/>
        <bgColor rgb="FF9CC2E5"/>
      </patternFill>
    </fill>
    <fill>
      <patternFill patternType="solid">
        <fgColor rgb="FF2F5496"/>
        <bgColor rgb="FF2F5496"/>
      </patternFill>
    </fill>
    <fill>
      <patternFill patternType="solid">
        <fgColor rgb="FF0070C0"/>
        <bgColor rgb="FF0070C0"/>
      </patternFill>
    </fill>
  </fills>
  <borders count="79">
    <border/>
    <border>
      <left style="thin">
        <color rgb="FFECECEC"/>
      </left>
      <right style="thin">
        <color rgb="FFECECEC"/>
      </right>
      <top style="thin">
        <color rgb="FFECECEC"/>
      </top>
    </border>
    <border>
      <left style="thin">
        <color rgb="FFECECEC"/>
      </left>
      <right style="thin">
        <color rgb="FFECECEC"/>
      </right>
      <top style="thin">
        <color rgb="FFECECEC"/>
      </top>
      <bottom/>
    </border>
    <border>
      <left style="thin">
        <color rgb="FFECECEC"/>
      </left>
      <top style="thin">
        <color rgb="FFECECEC"/>
      </top>
      <bottom/>
    </border>
    <border>
      <top style="thin">
        <color rgb="FFECECEC"/>
      </top>
      <bottom/>
    </border>
    <border>
      <right style="thin">
        <color rgb="FFECECEC"/>
      </right>
      <top style="thin">
        <color rgb="FFECECEC"/>
      </top>
      <bottom/>
    </border>
    <border>
      <left/>
      <right/>
      <top/>
      <bottom/>
    </border>
    <border>
      <left style="thin">
        <color rgb="FFECECEC"/>
      </left>
      <right/>
      <top/>
      <bottom/>
    </border>
    <border>
      <left style="thin">
        <color rgb="FFECECEC"/>
      </left>
      <right style="thin">
        <color rgb="FFECECEC"/>
      </right>
    </border>
    <border>
      <left style="thin">
        <color rgb="FFECECEC"/>
      </left>
      <right style="thin">
        <color rgb="FFECECEC"/>
      </right>
      <top/>
      <bottom/>
    </border>
    <border>
      <left style="thin">
        <color rgb="FFECECEC"/>
      </left>
      <top/>
      <bottom/>
    </border>
    <border>
      <right style="thin">
        <color rgb="FFECECEC"/>
      </right>
      <top/>
      <bottom/>
    </border>
    <border>
      <left style="thin">
        <color rgb="FFECECEC"/>
      </left>
      <right style="thin">
        <color rgb="FFECECEC"/>
      </right>
      <bottom style="medium">
        <color rgb="FF000000"/>
      </bottom>
    </border>
    <border>
      <left style="thin">
        <color rgb="FFECECEC"/>
      </left>
      <right style="thin">
        <color rgb="FFECECEC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bottom style="thin">
        <color rgb="FFECECEC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vertical="center"/>
    </xf>
    <xf borderId="3" fillId="2" fontId="2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6" fillId="2" fontId="2" numFmtId="0" xfId="0" applyAlignment="1" applyBorder="1" applyFont="1">
      <alignment horizontal="center"/>
    </xf>
    <xf borderId="7" fillId="2" fontId="2" numFmtId="0" xfId="0" applyAlignment="1" applyBorder="1" applyFont="1">
      <alignment shrinkToFit="0" wrapText="1"/>
    </xf>
    <xf borderId="8" fillId="0" fontId="3" numFmtId="0" xfId="0" applyBorder="1" applyFont="1"/>
    <xf borderId="9" fillId="2" fontId="1" numFmtId="0" xfId="0" applyAlignment="1" applyBorder="1" applyFont="1">
      <alignment vertical="center"/>
    </xf>
    <xf borderId="10" fillId="3" fontId="2" numFmtId="0" xfId="0" applyAlignment="1" applyBorder="1" applyFill="1" applyFont="1">
      <alignment horizontal="center"/>
    </xf>
    <xf borderId="11" fillId="0" fontId="3" numFmtId="0" xfId="0" applyBorder="1" applyFont="1"/>
    <xf borderId="9" fillId="3" fontId="2" numFmtId="0" xfId="0" applyBorder="1" applyFont="1"/>
    <xf borderId="7" fillId="3" fontId="2" numFmtId="0" xfId="0" applyBorder="1" applyFont="1"/>
    <xf borderId="12" fillId="0" fontId="3" numFmtId="0" xfId="0" applyBorder="1" applyFont="1"/>
    <xf borderId="13" fillId="2" fontId="1" numFmtId="0" xfId="0" applyAlignment="1" applyBorder="1" applyFont="1">
      <alignment vertical="center"/>
    </xf>
    <xf borderId="9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/>
    </xf>
    <xf borderId="14" fillId="0" fontId="1" numFmtId="0" xfId="0" applyBorder="1" applyFont="1"/>
    <xf borderId="14" fillId="0" fontId="1" numFmtId="0" xfId="0" applyBorder="1" applyFont="1"/>
    <xf borderId="14" fillId="0" fontId="2" numFmtId="20" xfId="0" applyAlignment="1" applyBorder="1" applyFont="1" applyNumberFormat="1">
      <alignment horizontal="center"/>
    </xf>
    <xf borderId="14" fillId="0" fontId="2" numFmtId="164" xfId="0" applyAlignment="1" applyBorder="1" applyFont="1" applyNumberFormat="1">
      <alignment horizontal="center"/>
    </xf>
    <xf borderId="14" fillId="0" fontId="2" numFmtId="1" xfId="0" applyAlignment="1" applyBorder="1" applyFont="1" applyNumberFormat="1">
      <alignment horizontal="center"/>
    </xf>
    <xf borderId="14" fillId="4" fontId="2" numFmtId="20" xfId="0" applyAlignment="1" applyBorder="1" applyFill="1" applyFont="1" applyNumberFormat="1">
      <alignment horizontal="center"/>
    </xf>
    <xf borderId="14" fillId="4" fontId="2" numFmtId="164" xfId="0" applyAlignment="1" applyBorder="1" applyFont="1" applyNumberFormat="1">
      <alignment horizontal="center"/>
    </xf>
    <xf borderId="14" fillId="4" fontId="2" numFmtId="0" xfId="0" applyAlignment="1" applyBorder="1" applyFont="1">
      <alignment horizontal="center"/>
    </xf>
    <xf borderId="14" fillId="4" fontId="2" numFmtId="1" xfId="0" applyAlignment="1" applyBorder="1" applyFont="1" applyNumberFormat="1">
      <alignment horizontal="center"/>
    </xf>
    <xf borderId="14" fillId="0" fontId="2" numFmtId="0" xfId="0" applyAlignment="1" applyBorder="1" applyFont="1">
      <alignment horizontal="center"/>
    </xf>
    <xf borderId="15" fillId="0" fontId="1" numFmtId="0" xfId="0" applyBorder="1" applyFont="1"/>
    <xf borderId="15" fillId="4" fontId="2" numFmtId="20" xfId="0" applyAlignment="1" applyBorder="1" applyFont="1" applyNumberFormat="1">
      <alignment horizontal="center"/>
    </xf>
    <xf borderId="15" fillId="4" fontId="2" numFmtId="46" xfId="0" applyAlignment="1" applyBorder="1" applyFont="1" applyNumberFormat="1">
      <alignment horizontal="center"/>
    </xf>
    <xf borderId="15" fillId="4" fontId="2" numFmtId="164" xfId="0" applyAlignment="1" applyBorder="1" applyFont="1" applyNumberFormat="1">
      <alignment horizontal="center"/>
    </xf>
    <xf borderId="15" fillId="4" fontId="2" numFmtId="0" xfId="0" applyAlignment="1" applyBorder="1" applyFont="1">
      <alignment horizontal="center"/>
    </xf>
    <xf borderId="15" fillId="0" fontId="1" numFmtId="0" xfId="0" applyBorder="1" applyFont="1"/>
    <xf borderId="15" fillId="4" fontId="2" numFmtId="20" xfId="0" applyAlignment="1" applyBorder="1" applyFont="1" applyNumberFormat="1">
      <alignment horizontal="center"/>
    </xf>
    <xf borderId="15" fillId="4" fontId="2" numFmtId="46" xfId="0" applyAlignment="1" applyBorder="1" applyFont="1" applyNumberFormat="1">
      <alignment horizontal="center"/>
    </xf>
    <xf borderId="15" fillId="4" fontId="2" numFmtId="164" xfId="0" applyAlignment="1" applyBorder="1" applyFont="1" applyNumberFormat="1">
      <alignment horizontal="center"/>
    </xf>
    <xf borderId="15" fillId="4" fontId="2" numFmtId="0" xfId="0" applyAlignment="1" applyBorder="1" applyFont="1">
      <alignment horizontal="center"/>
    </xf>
    <xf borderId="6" fillId="0" fontId="1" numFmtId="0" xfId="0" applyBorder="1" applyFont="1"/>
    <xf borderId="0" fillId="0" fontId="2" numFmtId="20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Alignment="1" applyBorder="1" applyFont="1">
      <alignment horizontal="center"/>
    </xf>
    <xf borderId="20" fillId="0" fontId="2" numFmtId="0" xfId="0" applyBorder="1" applyFont="1"/>
    <xf borderId="21" fillId="0" fontId="2" numFmtId="0" xfId="0" applyAlignment="1" applyBorder="1" applyFont="1">
      <alignment horizontal="center"/>
    </xf>
    <xf borderId="0" fillId="0" fontId="2" numFmtId="0" xfId="0" applyFont="1"/>
    <xf borderId="6" fillId="5" fontId="2" numFmtId="0" xfId="0" applyBorder="1" applyFill="1" applyFont="1"/>
    <xf borderId="14" fillId="4" fontId="2" numFmtId="20" xfId="0" applyAlignment="1" applyBorder="1" applyFont="1" applyNumberFormat="1">
      <alignment horizontal="center"/>
    </xf>
    <xf borderId="14" fillId="4" fontId="2" numFmtId="164" xfId="0" applyAlignment="1" applyBorder="1" applyFont="1" applyNumberFormat="1">
      <alignment horizontal="center"/>
    </xf>
    <xf borderId="14" fillId="4" fontId="2" numFmtId="0" xfId="0" applyAlignment="1" applyBorder="1" applyFont="1">
      <alignment horizontal="center"/>
    </xf>
    <xf borderId="14" fillId="0" fontId="2" numFmtId="20" xfId="0" applyAlignment="1" applyBorder="1" applyFont="1" applyNumberFormat="1">
      <alignment horizontal="center"/>
    </xf>
    <xf borderId="14" fillId="0" fontId="2" numFmtId="164" xfId="0" applyAlignment="1" applyBorder="1" applyFont="1" applyNumberFormat="1">
      <alignment horizontal="center"/>
    </xf>
    <xf borderId="14" fillId="0" fontId="2" numFmtId="0" xfId="0" applyAlignment="1" applyBorder="1" applyFont="1">
      <alignment horizontal="center"/>
    </xf>
    <xf borderId="0" fillId="0" fontId="3" numFmtId="20" xfId="0" applyFont="1" applyNumberFormat="1"/>
    <xf borderId="22" fillId="6" fontId="4" numFmtId="0" xfId="0" applyAlignment="1" applyBorder="1" applyFill="1" applyFont="1">
      <alignment horizontal="center" shrinkToFit="0" vertical="center" wrapText="1"/>
    </xf>
    <xf borderId="23" fillId="6" fontId="4" numFmtId="0" xfId="0" applyAlignment="1" applyBorder="1" applyFont="1">
      <alignment horizontal="center" shrinkToFit="0" vertical="center" wrapText="1"/>
    </xf>
    <xf borderId="24" fillId="7" fontId="5" numFmtId="0" xfId="0" applyAlignment="1" applyBorder="1" applyFill="1" applyFont="1">
      <alignment horizontal="center" shrinkToFit="0" vertical="center" wrapText="1"/>
    </xf>
    <xf borderId="25" fillId="7" fontId="5" numFmtId="0" xfId="0" applyAlignment="1" applyBorder="1" applyFont="1">
      <alignment horizontal="center" shrinkToFit="0" vertical="center" wrapText="1"/>
    </xf>
    <xf borderId="25" fillId="7" fontId="6" numFmtId="0" xfId="0" applyAlignment="1" applyBorder="1" applyFont="1">
      <alignment horizontal="center" vertical="center"/>
    </xf>
    <xf borderId="25" fillId="7" fontId="7" numFmtId="0" xfId="0" applyAlignment="1" applyBorder="1" applyFont="1">
      <alignment horizontal="left" shrinkToFit="0" vertical="center" wrapText="1"/>
    </xf>
    <xf borderId="25" fillId="7" fontId="5" numFmtId="0" xfId="0" applyAlignment="1" applyBorder="1" applyFont="1">
      <alignment horizontal="left" shrinkToFit="0" vertical="center" wrapText="1"/>
    </xf>
    <xf borderId="25" fillId="7" fontId="8" numFmtId="0" xfId="0" applyAlignment="1" applyBorder="1" applyFont="1">
      <alignment horizontal="center" shrinkToFit="0" vertical="center" wrapText="1"/>
    </xf>
    <xf borderId="25" fillId="7" fontId="8" numFmtId="0" xfId="0" applyAlignment="1" applyBorder="1" applyFont="1">
      <alignment horizontal="center" vertical="center"/>
    </xf>
    <xf borderId="25" fillId="7" fontId="9" numFmtId="0" xfId="0" applyAlignment="1" applyBorder="1" applyFont="1">
      <alignment horizontal="center" vertical="center"/>
    </xf>
    <xf borderId="25" fillId="7" fontId="6" numFmtId="0" xfId="0" applyAlignment="1" applyBorder="1" applyFont="1">
      <alignment horizontal="center" shrinkToFit="0" vertical="center" wrapText="1"/>
    </xf>
    <xf borderId="25" fillId="7" fontId="6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vertical="center"/>
    </xf>
    <xf borderId="26" fillId="0" fontId="10" numFmtId="0" xfId="0" applyAlignment="1" applyBorder="1" applyFont="1">
      <alignment vertical="center"/>
    </xf>
    <xf borderId="2" fillId="2" fontId="1" numFmtId="0" xfId="0" applyAlignment="1" applyBorder="1" applyFont="1">
      <alignment horizontal="center" vertical="center"/>
    </xf>
    <xf borderId="9" fillId="2" fontId="1" numFmtId="0" xfId="0" applyAlignment="1" applyBorder="1" applyFont="1">
      <alignment horizontal="center" vertical="center"/>
    </xf>
    <xf borderId="13" fillId="2" fontId="1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/>
    </xf>
    <xf borderId="28" fillId="0" fontId="1" numFmtId="0" xfId="0" applyAlignment="1" applyBorder="1" applyFont="1">
      <alignment horizontal="center"/>
    </xf>
    <xf borderId="27" fillId="0" fontId="1" numFmtId="0" xfId="0" applyBorder="1" applyFont="1"/>
    <xf borderId="6" fillId="8" fontId="2" numFmtId="0" xfId="0" applyBorder="1" applyFill="1" applyFont="1"/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left" vertical="center"/>
    </xf>
    <xf borderId="0" fillId="0" fontId="12" numFmtId="0" xfId="0" applyAlignment="1" applyFont="1">
      <alignment horizontal="left" vertical="center"/>
    </xf>
    <xf borderId="0" fillId="0" fontId="13" numFmtId="0" xfId="0" applyAlignment="1" applyFont="1">
      <alignment horizontal="center" vertical="center"/>
    </xf>
    <xf borderId="6" fillId="9" fontId="2" numFmtId="0" xfId="0" applyBorder="1" applyFill="1" applyFont="1"/>
    <xf borderId="29" fillId="9" fontId="14" numFmtId="49" xfId="0" applyAlignment="1" applyBorder="1" applyFont="1" applyNumberFormat="1">
      <alignment horizontal="center" vertical="center"/>
    </xf>
    <xf borderId="30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33" fillId="0" fontId="3" numFmtId="0" xfId="0" applyBorder="1" applyFont="1"/>
    <xf borderId="6" fillId="9" fontId="2" numFmtId="0" xfId="0" applyBorder="1" applyFont="1"/>
    <xf borderId="34" fillId="0" fontId="3" numFmtId="0" xfId="0" applyBorder="1" applyFont="1"/>
    <xf borderId="35" fillId="0" fontId="3" numFmtId="0" xfId="0" applyBorder="1" applyFont="1"/>
    <xf borderId="36" fillId="0" fontId="3" numFmtId="0" xfId="0" applyBorder="1" applyFont="1"/>
    <xf borderId="37" fillId="2" fontId="15" numFmtId="0" xfId="0" applyAlignment="1" applyBorder="1" applyFont="1">
      <alignment horizontal="center" vertical="center"/>
    </xf>
    <xf borderId="38" fillId="2" fontId="2" numFmtId="0" xfId="0" applyAlignment="1" applyBorder="1" applyFont="1">
      <alignment horizontal="center"/>
    </xf>
    <xf borderId="39" fillId="0" fontId="3" numFmtId="0" xfId="0" applyBorder="1" applyFont="1"/>
    <xf borderId="40" fillId="0" fontId="3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3" fontId="2" numFmtId="0" xfId="0" applyAlignment="1" applyBorder="1" applyFont="1">
      <alignment horizontal="center"/>
    </xf>
    <xf borderId="44" fillId="0" fontId="3" numFmtId="0" xfId="0" applyBorder="1" applyFont="1"/>
    <xf borderId="45" fillId="2" fontId="16" numFmtId="0" xfId="0" applyAlignment="1" applyBorder="1" applyFont="1">
      <alignment horizontal="center" shrinkToFit="0" vertical="center" wrapText="1"/>
    </xf>
    <xf borderId="46" fillId="2" fontId="16" numFmtId="0" xfId="0" applyAlignment="1" applyBorder="1" applyFont="1">
      <alignment horizontal="center" shrinkToFit="0" vertical="center" wrapText="1"/>
    </xf>
    <xf borderId="47" fillId="0" fontId="3" numFmtId="0" xfId="0" applyBorder="1" applyFont="1"/>
    <xf borderId="14" fillId="2" fontId="1" numFmtId="0" xfId="0" applyAlignment="1" applyBorder="1" applyFont="1">
      <alignment horizontal="center" shrinkToFit="0" vertical="center" wrapText="1"/>
    </xf>
    <xf borderId="48" fillId="0" fontId="3" numFmtId="0" xfId="0" applyBorder="1" applyFont="1"/>
    <xf borderId="49" fillId="0" fontId="3" numFmtId="0" xfId="0" applyBorder="1" applyFont="1"/>
    <xf borderId="50" fillId="10" fontId="2" numFmtId="1" xfId="0" applyAlignment="1" applyBorder="1" applyFill="1" applyFont="1" applyNumberFormat="1">
      <alignment horizontal="center"/>
    </xf>
    <xf borderId="14" fillId="10" fontId="2" numFmtId="20" xfId="0" applyAlignment="1" applyBorder="1" applyFont="1" applyNumberFormat="1">
      <alignment horizontal="center"/>
    </xf>
    <xf borderId="14" fillId="10" fontId="2" numFmtId="164" xfId="0" applyAlignment="1" applyBorder="1" applyFont="1" applyNumberFormat="1">
      <alignment horizontal="center"/>
    </xf>
    <xf borderId="51" fillId="10" fontId="2" numFmtId="164" xfId="0" applyAlignment="1" applyBorder="1" applyFont="1" applyNumberFormat="1">
      <alignment horizontal="center"/>
    </xf>
    <xf borderId="50" fillId="11" fontId="2" numFmtId="1" xfId="0" applyAlignment="1" applyBorder="1" applyFill="1" applyFont="1" applyNumberFormat="1">
      <alignment horizontal="center"/>
    </xf>
    <xf borderId="14" fillId="11" fontId="2" numFmtId="20" xfId="0" applyAlignment="1" applyBorder="1" applyFont="1" applyNumberFormat="1">
      <alignment horizontal="center"/>
    </xf>
    <xf borderId="14" fillId="11" fontId="2" numFmtId="164" xfId="0" applyAlignment="1" applyBorder="1" applyFont="1" applyNumberFormat="1">
      <alignment horizontal="center"/>
    </xf>
    <xf borderId="51" fillId="11" fontId="2" numFmtId="164" xfId="0" applyAlignment="1" applyBorder="1" applyFont="1" applyNumberFormat="1">
      <alignment horizontal="center"/>
    </xf>
    <xf borderId="50" fillId="12" fontId="2" numFmtId="1" xfId="0" applyAlignment="1" applyBorder="1" applyFill="1" applyFont="1" applyNumberFormat="1">
      <alignment horizontal="center"/>
    </xf>
    <xf borderId="14" fillId="12" fontId="2" numFmtId="20" xfId="0" applyAlignment="1" applyBorder="1" applyFont="1" applyNumberFormat="1">
      <alignment horizontal="center"/>
    </xf>
    <xf borderId="14" fillId="12" fontId="2" numFmtId="164" xfId="0" applyAlignment="1" applyBorder="1" applyFont="1" applyNumberFormat="1">
      <alignment horizontal="center"/>
    </xf>
    <xf borderId="51" fillId="12" fontId="2" numFmtId="164" xfId="0" applyAlignment="1" applyBorder="1" applyFont="1" applyNumberFormat="1">
      <alignment horizontal="center"/>
    </xf>
    <xf borderId="52" fillId="13" fontId="2" numFmtId="1" xfId="0" applyAlignment="1" applyBorder="1" applyFill="1" applyFont="1" applyNumberFormat="1">
      <alignment horizontal="center"/>
    </xf>
    <xf borderId="53" fillId="13" fontId="2" numFmtId="20" xfId="0" applyAlignment="1" applyBorder="1" applyFont="1" applyNumberFormat="1">
      <alignment horizontal="center"/>
    </xf>
    <xf borderId="53" fillId="13" fontId="2" numFmtId="164" xfId="0" applyAlignment="1" applyBorder="1" applyFont="1" applyNumberFormat="1">
      <alignment horizontal="center"/>
    </xf>
    <xf borderId="54" fillId="13" fontId="2" numFmtId="164" xfId="0" applyAlignment="1" applyBorder="1" applyFont="1" applyNumberFormat="1">
      <alignment horizontal="center"/>
    </xf>
    <xf borderId="55" fillId="2" fontId="15" numFmtId="0" xfId="0" applyAlignment="1" applyBorder="1" applyFont="1">
      <alignment horizontal="center" vertical="center"/>
    </xf>
    <xf borderId="38" fillId="2" fontId="2" numFmtId="0" xfId="0" applyAlignment="1" applyBorder="1" applyFont="1">
      <alignment horizontal="center" shrinkToFit="0" vertical="center" wrapText="1"/>
    </xf>
    <xf borderId="56" fillId="2" fontId="1" numFmtId="0" xfId="0" applyAlignment="1" applyBorder="1" applyFont="1">
      <alignment horizontal="center" vertical="center"/>
    </xf>
    <xf borderId="38" fillId="2" fontId="1" numFmtId="0" xfId="0" applyAlignment="1" applyBorder="1" applyFont="1">
      <alignment horizontal="center" vertical="center"/>
    </xf>
    <xf borderId="57" fillId="0" fontId="3" numFmtId="0" xfId="0" applyBorder="1" applyFont="1"/>
    <xf borderId="58" fillId="2" fontId="17" numFmtId="0" xfId="0" applyAlignment="1" applyBorder="1" applyFont="1">
      <alignment horizontal="center" shrinkToFit="0" vertical="center" wrapText="1"/>
    </xf>
    <xf borderId="59" fillId="0" fontId="3" numFmtId="0" xfId="0" applyBorder="1" applyFont="1"/>
    <xf borderId="60" fillId="0" fontId="3" numFmtId="0" xfId="0" applyBorder="1" applyFont="1"/>
    <xf borderId="50" fillId="10" fontId="1" numFmtId="0" xfId="0" applyAlignment="1" applyBorder="1" applyFont="1">
      <alignment horizontal="center"/>
    </xf>
    <xf borderId="43" fillId="10" fontId="2" numFmtId="1" xfId="0" applyAlignment="1" applyBorder="1" applyFont="1" applyNumberFormat="1">
      <alignment horizontal="center"/>
    </xf>
    <xf borderId="61" fillId="0" fontId="3" numFmtId="0" xfId="0" applyBorder="1" applyFont="1"/>
    <xf borderId="62" fillId="0" fontId="3" numFmtId="0" xfId="0" applyBorder="1" applyFont="1"/>
    <xf borderId="63" fillId="0" fontId="18" numFmtId="0" xfId="0" applyAlignment="1" applyBorder="1" applyFont="1">
      <alignment horizontal="center" vertical="center"/>
    </xf>
    <xf borderId="64" fillId="0" fontId="3" numFmtId="0" xfId="0" applyBorder="1" applyFont="1"/>
    <xf borderId="65" fillId="0" fontId="3" numFmtId="0" xfId="0" applyBorder="1" applyFont="1"/>
    <xf borderId="66" fillId="0" fontId="18" numFmtId="0" xfId="0" applyAlignment="1" applyBorder="1" applyFont="1">
      <alignment horizontal="center" vertical="center"/>
    </xf>
    <xf borderId="67" fillId="0" fontId="3" numFmtId="0" xfId="0" applyBorder="1" applyFont="1"/>
    <xf borderId="68" fillId="2" fontId="16" numFmtId="0" xfId="0" applyAlignment="1" applyBorder="1" applyFont="1">
      <alignment horizontal="center" shrinkToFit="0" vertical="center" wrapText="1"/>
    </xf>
    <xf borderId="69" fillId="2" fontId="16" numFmtId="0" xfId="0" applyAlignment="1" applyBorder="1" applyFont="1">
      <alignment horizontal="center" shrinkToFit="0" vertical="center" wrapText="1"/>
    </xf>
    <xf borderId="15" fillId="2" fontId="16" numFmtId="0" xfId="0" applyAlignment="1" applyBorder="1" applyFont="1">
      <alignment horizontal="center" shrinkToFit="0" vertical="center" wrapText="1"/>
    </xf>
    <xf borderId="51" fillId="2" fontId="16" numFmtId="0" xfId="0" applyAlignment="1" applyBorder="1" applyFont="1">
      <alignment horizontal="center" shrinkToFit="0" vertical="center" wrapText="1"/>
    </xf>
    <xf borderId="50" fillId="11" fontId="1" numFmtId="0" xfId="0" applyAlignment="1" applyBorder="1" applyFont="1">
      <alignment horizontal="center"/>
    </xf>
    <xf borderId="43" fillId="11" fontId="2" numFmtId="1" xfId="0" applyAlignment="1" applyBorder="1" applyFont="1" applyNumberFormat="1">
      <alignment horizontal="center"/>
    </xf>
    <xf borderId="55" fillId="10" fontId="2" numFmtId="1" xfId="0" applyAlignment="1" applyBorder="1" applyFont="1" applyNumberFormat="1">
      <alignment horizontal="center"/>
    </xf>
    <xf borderId="14" fillId="14" fontId="2" numFmtId="1" xfId="0" applyAlignment="1" applyBorder="1" applyFill="1" applyFont="1" applyNumberFormat="1">
      <alignment horizontal="center"/>
    </xf>
    <xf borderId="27" fillId="10" fontId="2" numFmtId="1" xfId="0" applyAlignment="1" applyBorder="1" applyFont="1" applyNumberFormat="1">
      <alignment horizontal="center"/>
    </xf>
    <xf borderId="70" fillId="10" fontId="2" numFmtId="1" xfId="0" applyAlignment="1" applyBorder="1" applyFont="1" applyNumberFormat="1">
      <alignment horizontal="center"/>
    </xf>
    <xf borderId="71" fillId="15" fontId="2" numFmtId="1" xfId="0" applyAlignment="1" applyBorder="1" applyFill="1" applyFont="1" applyNumberFormat="1">
      <alignment horizontal="center"/>
    </xf>
    <xf borderId="50" fillId="12" fontId="1" numFmtId="0" xfId="0" applyAlignment="1" applyBorder="1" applyFont="1">
      <alignment horizontal="center"/>
    </xf>
    <xf borderId="43" fillId="12" fontId="2" numFmtId="1" xfId="0" applyAlignment="1" applyBorder="1" applyFont="1" applyNumberFormat="1">
      <alignment horizontal="center"/>
    </xf>
    <xf borderId="72" fillId="11" fontId="2" numFmtId="1" xfId="0" applyAlignment="1" applyBorder="1" applyFont="1" applyNumberFormat="1">
      <alignment horizontal="center"/>
    </xf>
    <xf borderId="14" fillId="11" fontId="2" numFmtId="1" xfId="0" applyAlignment="1" applyBorder="1" applyFont="1" applyNumberFormat="1">
      <alignment horizontal="center"/>
    </xf>
    <xf borderId="51" fillId="11" fontId="2" numFmtId="1" xfId="0" applyAlignment="1" applyBorder="1" applyFont="1" applyNumberFormat="1">
      <alignment horizontal="center"/>
    </xf>
    <xf borderId="52" fillId="13" fontId="1" numFmtId="0" xfId="0" applyAlignment="1" applyBorder="1" applyFont="1">
      <alignment horizontal="center"/>
    </xf>
    <xf borderId="66" fillId="13" fontId="2" numFmtId="1" xfId="0" applyAlignment="1" applyBorder="1" applyFont="1" applyNumberFormat="1">
      <alignment horizontal="center"/>
    </xf>
    <xf borderId="73" fillId="0" fontId="3" numFmtId="0" xfId="0" applyBorder="1" applyFont="1"/>
    <xf borderId="72" fillId="12" fontId="2" numFmtId="1" xfId="0" applyAlignment="1" applyBorder="1" applyFont="1" applyNumberFormat="1">
      <alignment horizontal="center"/>
    </xf>
    <xf borderId="14" fillId="12" fontId="2" numFmtId="1" xfId="0" applyAlignment="1" applyBorder="1" applyFont="1" applyNumberFormat="1">
      <alignment horizontal="center"/>
    </xf>
    <xf borderId="51" fillId="12" fontId="2" numFmtId="1" xfId="0" applyAlignment="1" applyBorder="1" applyFont="1" applyNumberFormat="1">
      <alignment horizontal="center"/>
    </xf>
    <xf borderId="50" fillId="13" fontId="2" numFmtId="1" xfId="0" applyAlignment="1" applyBorder="1" applyFont="1" applyNumberFormat="1">
      <alignment horizontal="center"/>
    </xf>
    <xf borderId="72" fillId="13" fontId="2" numFmtId="1" xfId="0" applyAlignment="1" applyBorder="1" applyFont="1" applyNumberFormat="1">
      <alignment horizontal="center"/>
    </xf>
    <xf borderId="14" fillId="13" fontId="2" numFmtId="1" xfId="0" applyAlignment="1" applyBorder="1" applyFont="1" applyNumberFormat="1">
      <alignment horizontal="center"/>
    </xf>
    <xf borderId="51" fillId="13" fontId="2" numFmtId="1" xfId="0" applyAlignment="1" applyBorder="1" applyFont="1" applyNumberFormat="1">
      <alignment horizontal="center"/>
    </xf>
    <xf borderId="52" fillId="10" fontId="2" numFmtId="1" xfId="0" applyAlignment="1" applyBorder="1" applyFont="1" applyNumberFormat="1">
      <alignment horizontal="center"/>
    </xf>
    <xf borderId="74" fillId="10" fontId="2" numFmtId="1" xfId="0" applyAlignment="1" applyBorder="1" applyFont="1" applyNumberFormat="1">
      <alignment horizontal="center"/>
    </xf>
    <xf borderId="53" fillId="10" fontId="2" numFmtId="1" xfId="0" applyAlignment="1" applyBorder="1" applyFont="1" applyNumberFormat="1">
      <alignment horizontal="center"/>
    </xf>
    <xf borderId="75" fillId="15" fontId="2" numFmtId="1" xfId="0" applyAlignment="1" applyBorder="1" applyFont="1" applyNumberFormat="1">
      <alignment horizontal="center"/>
    </xf>
    <xf borderId="6" fillId="9" fontId="14" numFmtId="49" xfId="0" applyAlignment="1" applyBorder="1" applyFont="1" applyNumberFormat="1">
      <alignment horizontal="center" vertical="center"/>
    </xf>
    <xf borderId="13" fillId="2" fontId="1" numFmtId="0" xfId="0" applyAlignment="1" applyBorder="1" applyFont="1">
      <alignment vertical="center"/>
    </xf>
    <xf borderId="9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76" fillId="10" fontId="19" numFmtId="0" xfId="0" applyAlignment="1" applyBorder="1" applyFont="1">
      <alignment horizontal="center"/>
    </xf>
    <xf borderId="77" fillId="0" fontId="3" numFmtId="0" xfId="0" applyBorder="1" applyFont="1"/>
    <xf borderId="78" fillId="0" fontId="3" numFmtId="0" xfId="0" applyBorder="1" applyFont="1"/>
    <xf borderId="6" fillId="10" fontId="2" numFmtId="0" xfId="0" applyBorder="1" applyFont="1"/>
    <xf borderId="22" fillId="10" fontId="2" numFmtId="0" xfId="0" applyBorder="1" applyFont="1"/>
    <xf borderId="14" fillId="4" fontId="1" numFmtId="0" xfId="0" applyAlignment="1" applyBorder="1" applyFont="1">
      <alignment horizontal="center"/>
    </xf>
    <xf borderId="14" fillId="4" fontId="1" numFmtId="0" xfId="0" applyBorder="1" applyFont="1"/>
    <xf borderId="0" fillId="0" fontId="2" numFmtId="0" xfId="0" applyFont="1"/>
    <xf borderId="0" fillId="0" fontId="2" numFmtId="20" xfId="0" applyAlignment="1" applyFont="1" applyNumberFormat="1">
      <alignment horizontal="left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none"/>
      </fill>
      <border/>
    </dxf>
  </dxfs>
  <tableStyles count="4">
    <tableStyle count="3" pivot="0" name="Semana 1-style">
      <tableStyleElement dxfId="1" type="headerRow"/>
      <tableStyleElement dxfId="2" type="firstRowStripe"/>
      <tableStyleElement dxfId="3" type="secondRowStripe"/>
    </tableStyle>
    <tableStyle count="3" pivot="0" name="Semana 2-style">
      <tableStyleElement dxfId="1" type="headerRow"/>
      <tableStyleElement dxfId="2" type="firstRowStripe"/>
      <tableStyleElement dxfId="3" type="secondRowStripe"/>
    </tableStyle>
    <tableStyle count="3" pivot="0" name="Semana 3-style">
      <tableStyleElement dxfId="1" type="headerRow"/>
      <tableStyleElement dxfId="2" type="firstRowStripe"/>
      <tableStyleElement dxfId="3" type="secondRowStripe"/>
    </tableStyle>
    <tableStyle count="3" pivot="0" name="Semana 4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600200" cy="638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1</xdr:row>
      <xdr:rowOff>9525</xdr:rowOff>
    </xdr:from>
    <xdr:ext cx="1581150" cy="5429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6:AY63" sheet="Resumen por Pausas"/>
  </cacheSource>
  <cacheFields>
    <cacheField name="Numero de Agente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</sharedItems>
    </cacheField>
    <cacheField name="Nombre agente" numFmtId="0">
      <sharedItems>
        <s v="Nancy Beatriz Pedroza"/>
        <s v="Carina Alejandra Peliz Reban"/>
        <s v="-"/>
        <s v="Daisy Yomara Mateo"/>
        <s v="Carlo Giordiano Caballero Morales"/>
        <s v="Ani Rubi Lucero Gonzalez"/>
        <s v="Hilda Sofia Gonzalez De León"/>
        <s v="Jorge Israel Reyes Valencia"/>
        <s v="Marcos Geovanny Coronado Giron"/>
        <s v="Anyely Eunice Florian Florian"/>
        <s v="Jennifer Alicia Boror Rodriguez"/>
        <s v="Juan José Puluc Chaicoj"/>
        <s v="Lydicen Anabelly Navarijo Padilla"/>
        <s v="Cindy Melissa Aroche Ortiz"/>
        <s v="Katherin Gabriela Monzon Vivar"/>
        <s v="Velvet Esmeralda Quiroz Godinez"/>
        <s v="Marcela Alessandra López Melgar"/>
        <s v="Ana Marilú González de la Cruz"/>
        <s v="Ingrid Rebeca Santizo Lopez"/>
        <s v="Byron Abdiel Santos Mejia"/>
        <s v="Karen Lisbeth Vega Ramirez"/>
        <s v="Osiris Azucena Leiva Leon"/>
        <s v="Gabriela Abigail Guzman Diaz"/>
        <s v="Consuelo Magali Herrarte Bautista"/>
        <s v="Yoselin Delfina Lucas Juárez"/>
        <s v="Marleny Elizabeth Orozco Carrera"/>
        <s v="Cristian Eduardo Xiloj Zamor"/>
        <s v="Diego Leonardo Patzan Patzan"/>
        <s v="Erick Gabriel Velasquez Marroquin"/>
        <s v="Catherine Patricia Castillo Monzon "/>
        <s v="Yandira Yaneth Balcarcel Perez"/>
        <s v="Laura Lucia Rabanales Oliva"/>
        <s v="Lilian Josefina Ramirez Estrada"/>
        <s v="Wilson Saúl Gómez Mendoza"/>
        <s v="Carmen Yanira Brán Oliva"/>
        <s v="Katherine Nicole Colmenares Véliz"/>
        <s v="Laptop"/>
        <s v="Yissa Julavy Aquino Garcia"/>
        <s v="Karla Isabel Herandez Rivas"/>
        <s v="Anthony Stiven Yocute Aragon"/>
        <s v="Daylin Paulette Quiroa Quiroa"/>
        <s v="Nora Azucena Sanchez Rodriguez"/>
        <s v="Dorian Estefany Sit Santos"/>
        <s v="Benjamin Max Israel Boc Vicente"/>
        <s v="Ventura Glenda Paola Echeveria Perez"/>
        <s v="Oscar Rene Ovalle Letran"/>
        <s v="Mariela Edith Torres Figueroa"/>
        <s v="Marlyn Argentina Aguilar Lemus"/>
      </sharedItems>
    </cacheField>
    <cacheField name="Semana #" numFmtId="0">
      <sharedItems>
        <s v="Semana 1"/>
      </sharedItems>
    </cacheField>
    <cacheField name="Skill" numFmtId="0">
      <sharedItems>
        <s v="AGENTE"/>
        <s v="REDES"/>
        <s v="-"/>
        <s v="SOPORTE"/>
        <s v="AGENTE RM"/>
        <s v="CONTROL"/>
        <s v="AGENTE APERTURA"/>
        <s v="SUPERVISORA"/>
        <s v="CAPACITACION"/>
        <s v="Lap"/>
        <s v="AGENTE CIERRE"/>
      </sharedItems>
    </cacheField>
    <cacheField name="Entrada" numFmtId="20">
      <sharedItems containsDate="1" containsString="0" containsBlank="1">
        <d v="1899-12-30T17:00:00Z"/>
        <d v="1899-12-30T09:00:00Z"/>
        <m/>
        <d v="1899-12-30T07:00:00Z"/>
        <d v="1899-12-30T06:30:00Z"/>
        <d v="1899-12-30T08:00:00Z"/>
        <d v="1899-12-30T07:30:00Z"/>
        <d v="1899-12-30T00:00:00Z"/>
        <d v="1899-12-30T10:00:00Z"/>
        <d v="1899-12-30T08:30:00Z"/>
      </sharedItems>
    </cacheField>
    <cacheField name="Salida">
      <sharedItems containsDate="1" containsMixedTypes="1">
        <d v="1899-12-31T00:00:00Z"/>
        <d v="1899-12-30T18:00:51Z"/>
        <s v=" "/>
        <d v="1899-12-30T16:00:51Z"/>
        <d v="1899-12-30T15:30:51Z"/>
        <d v="1899-12-30T17:00:51Z"/>
        <d v="1899-12-30T16:30:51Z"/>
        <d v="1899-12-30T07:00:00Z"/>
        <d v="1899-12-30T19:00:51Z"/>
        <d v="1899-12-30T16:30:00Z"/>
        <d v="1899-12-30T17:30:51Z"/>
        <d v="1899-12-30T18:00:28Z"/>
        <d v="1899-12-30T16:30:28Z"/>
      </sharedItems>
    </cacheField>
    <cacheField name="Inicio Almuerzo" numFmtId="20">
      <sharedItems containsDate="1" containsString="0" containsBlank="1">
        <d v="1899-12-30T19:00:00Z"/>
        <d v="1899-12-30T12:00:00Z"/>
        <m/>
        <d v="1899-12-30T13:00:00Z"/>
        <d v="1899-12-30T14:00:00Z"/>
        <d v="1899-12-30T13:30:00Z"/>
        <d v="1899-12-30T03:00:00Z"/>
        <d v="1899-12-30T15:00:00Z"/>
        <d v="1899-12-30T20:00:00Z"/>
        <d v="1899-12-30T12:30:00Z"/>
      </sharedItems>
    </cacheField>
    <cacheField name="Termina Almuerzo">
      <sharedItems containsDate="1" containsMixedTypes="1">
        <d v="1899-12-30T19:30:00Z"/>
        <d v="1899-12-30T13:00:28Z"/>
        <s v=" - "/>
        <d v="1899-12-30T14:00:28Z"/>
        <d v="1899-12-30T15:00:28Z"/>
        <d v="1899-12-30T14:30:28Z"/>
        <d v="1899-12-30T03:30:14Z"/>
        <d v="1899-12-30T16:00:28Z"/>
        <d v="1899-12-30T20:30:14Z"/>
        <d v="1899-12-30T13:30:28Z"/>
        <d v="1899-12-30T01:00:28Z"/>
      </sharedItems>
    </cacheField>
    <cacheField name="Incio Break 1" numFmtId="20">
      <sharedItems containsDate="1" containsString="0" containsBlank="1">
        <d v="1899-12-30T19:30:00Z"/>
        <d v="1899-12-30T10:00:00Z"/>
        <m/>
        <d v="1899-12-30T08:40:00Z"/>
        <d v="1899-12-30T10:20:00Z"/>
        <d v="1899-12-30T08:20:00Z"/>
        <d v="1899-12-30T09:30:00Z"/>
        <d v="1899-12-30T09:15:00Z"/>
        <d v="1899-12-30T08:00:00Z"/>
        <d v="1899-12-30T03:30:00Z"/>
        <d v="1899-12-30T07:00:00Z"/>
        <d v="1899-12-30T11:00:00Z"/>
        <d v="1899-12-30T08:30:00Z"/>
        <d v="1899-12-30T10:30:00Z"/>
        <d v="1899-12-30T10:40:00Z"/>
        <d v="1899-12-30T08:15:00Z"/>
        <d v="1899-12-30T20:30:00Z"/>
        <d v="1899-12-30T09:40:00Z"/>
      </sharedItems>
    </cacheField>
    <cacheField name="Termina Break 1">
      <sharedItems containsDate="1" containsMixedTypes="1">
        <d v="1899-12-30T19:50:09Z"/>
        <d v="1899-12-30T10:20:09Z"/>
        <s v=" - "/>
        <d v="1899-12-30T09:00:09Z"/>
        <d v="1899-12-30T10:40:09Z"/>
        <d v="1899-12-30T08:40:09Z"/>
        <d v="1899-12-30T09:50:09Z"/>
        <d v="1899-12-30T09:35:09Z"/>
        <d v="1899-12-30T08:20:09Z"/>
        <d v="1899-12-30T03:50:09Z"/>
        <d v="1899-12-30T07:20:09Z"/>
        <d v="1899-12-30T11:20:09Z"/>
        <d v="1899-12-30T08:50:09Z"/>
        <d v="1899-12-30T10:50:09Z"/>
        <d v="1899-12-30T11:00:09Z"/>
        <d v="1899-12-30T08:35:09Z"/>
        <d v="1899-12-30T20:50:09Z"/>
        <d v="1899-12-30T10:00:09Z"/>
        <d v="1899-12-30T00:20:09Z"/>
      </sharedItems>
    </cacheField>
    <cacheField name="Incio Break 2 " numFmtId="20">
      <sharedItems containsDate="1" containsString="0" containsBlank="1">
        <d v="1899-12-30T19:50:00Z"/>
        <d v="1899-12-30T15:30:00Z"/>
        <m/>
        <d v="1899-12-30T14:20:00Z"/>
        <d v="1899-12-30T15:40:00Z"/>
        <d v="1899-12-30T14:10:00Z"/>
        <d v="1899-12-30T16:00:00Z"/>
        <d v="1899-12-30T16:45:00Z"/>
        <d v="1899-12-30T14:30:00Z"/>
        <d v="1899-12-30T14:00:00Z"/>
        <d v="1899-12-30T03:50:00Z"/>
        <d v="1899-12-30T17:15:00Z"/>
        <d v="1899-12-30T15:50:00Z"/>
        <d v="1899-12-30T15:45:00Z"/>
        <d v="1899-12-30T18:00:00Z"/>
        <d v="1899-12-30T16:15:00Z"/>
        <d v="1899-12-30T14:15:00Z"/>
        <d v="1899-12-30T03:30:00Z"/>
        <d v="1899-12-30T14:50:00Z"/>
        <d v="1899-12-30T20:50:00Z"/>
        <d v="1899-12-30T04:30:00Z"/>
        <d v="1899-12-30T17:30:00Z"/>
      </sharedItems>
    </cacheField>
    <cacheField name="Termina Break 2">
      <sharedItems containsDate="1" containsMixedTypes="1">
        <d v="1899-12-30T20:00:04Z"/>
        <d v="1899-12-30T15:40:04Z"/>
        <s v=" - "/>
        <d v="1899-12-30T14:30:04Z"/>
        <d v="1899-12-30T15:50:04Z"/>
        <d v="1899-12-30T14:20:04Z"/>
        <d v="1899-12-30T16:10:04Z"/>
        <d v="1899-12-30T16:55:04Z"/>
        <d v="1899-12-30T14:40:04Z"/>
        <d v="1899-12-30T14:10:04Z"/>
        <d v="1899-12-30T04:00:04Z"/>
        <d v="1899-12-30T17:25:04Z"/>
        <d v="1899-12-30T16:00:04Z"/>
        <d v="1899-12-30T15:55:04Z"/>
        <d v="1899-12-30T18:10:04Z"/>
        <d v="1899-12-30T16:25:04Z"/>
        <d v="1899-12-30T14:25:04Z"/>
        <d v="1899-12-30T03:40:04Z"/>
        <d v="1899-12-30T15:00:04Z"/>
        <d v="1899-12-30T21:00:04Z"/>
        <d v="1899-12-30T04:40:04Z"/>
        <d v="1899-12-30T00:10:04Z"/>
      </sharedItems>
    </cacheField>
    <cacheField name="Horas Lunes" numFmtId="164">
      <sharedItems containsSemiMixedTypes="0" containsString="0" containsNumber="1">
        <n v="5.999999999999999"/>
        <n v="8.014399999999998"/>
        <n v="-1.0"/>
        <n v="8.0144"/>
        <n v="6.0"/>
        <n v="7.5"/>
        <n v="9.008"/>
      </sharedItems>
    </cacheField>
    <cacheField name="Entrada Sabado" numFmtId="20">
      <sharedItems containsDate="1" containsString="0" containsBlank="1">
        <d v="1899-12-30T17:00:00Z"/>
        <d v="1899-12-30T10:00:00Z"/>
        <m/>
        <d v="1899-12-30T08:30:00Z"/>
        <d v="1899-12-30T09:00:00Z"/>
        <d v="1899-12-30T06:30:00Z"/>
        <d v="1899-12-30T08:00:00Z"/>
        <d v="1899-12-30T00:00:00Z"/>
        <d v="1899-12-30T07:00:00Z"/>
      </sharedItems>
    </cacheField>
    <cacheField name="Salida Sabado">
      <sharedItems containsDate="1" containsBlank="1" containsMixedTypes="1">
        <d v="1899-12-31T00:00:00Z"/>
        <d v="1899-12-30T15:00:57Z"/>
        <m/>
        <s v=""/>
        <d v="1899-12-30T13:30:57Z"/>
        <d v="1899-12-30T14:00:57Z"/>
        <d v="1899-12-30T11:30:57Z"/>
        <d v="1899-12-30T13:00:57Z"/>
        <d v="1899-12-30T07:00:00Z"/>
        <s v=" "/>
        <d v="1899-12-30T12:00:57Z"/>
        <d v="1899-12-30T16:00:00Z"/>
      </sharedItems>
    </cacheField>
    <cacheField name="Inicio AlmuerzoSabado" numFmtId="20">
      <sharedItems containsDate="1" containsString="0" containsBlank="1">
        <d v="1899-12-30T19:00:00Z"/>
        <m/>
        <d v="1899-12-30T03:00:00Z"/>
        <d v="1899-12-30T20:00:00Z"/>
      </sharedItems>
    </cacheField>
    <cacheField name="Termina Almuerzo Sabado">
      <sharedItems containsDate="1" containsBlank="1" containsMixedTypes="1">
        <d v="1899-12-30T19:30:00Z"/>
        <m/>
        <s v=""/>
        <d v="1899-12-30T03:30:14Z"/>
        <d v="1899-12-30T20:30:14Z"/>
        <s v=" - "/>
      </sharedItems>
    </cacheField>
    <cacheField name="Incio Break 1 Sabado" numFmtId="20">
      <sharedItems containsDate="1" containsString="0" containsBlank="1">
        <d v="1899-12-30T19:30:00Z"/>
        <d v="1899-12-30T10:30:00Z"/>
        <m/>
        <d v="1899-12-30T09:00:00Z"/>
        <d v="1899-12-30T09:30:00Z"/>
        <d v="1899-12-30T07:30:00Z"/>
        <d v="1899-12-30T08:30:00Z"/>
        <d v="1899-12-30T10:00:00Z"/>
        <d v="1899-12-30T03:30:00Z"/>
        <d v="1899-12-30T09:03:00Z"/>
        <d v="1899-12-30T08:00:00Z"/>
        <d v="1899-12-30T11:00:00Z"/>
        <d v="1899-12-30T11:30:00Z"/>
        <d v="1899-12-30T12:00:00Z"/>
        <d v="1899-12-30T13:00:00Z"/>
        <d v="1899-12-30T13:30:00Z"/>
        <d v="1899-12-30T20:30:00Z"/>
      </sharedItems>
    </cacheField>
    <cacheField name="Termina Break 1 Sabado">
      <sharedItems containsDate="1" containsBlank="1" containsMixedTypes="1">
        <d v="1899-12-30T19:50:09Z"/>
        <d v="1899-12-30T11:00:14Z"/>
        <s v=""/>
        <d v="1899-12-30T09:30:14Z"/>
        <d v="1899-12-30T10:00:14Z"/>
        <m/>
        <d v="1899-12-30T08:00:14Z"/>
        <d v="1899-12-30T09:00:14Z"/>
        <d v="1899-12-30T10:30:14Z"/>
        <d v="1899-12-30T03:50:09Z"/>
        <d v="1899-12-30T09:17:24Z"/>
        <d v="1899-12-30T08:30:14Z"/>
        <d v="1899-12-30T11:30:14Z"/>
        <d v="1899-12-30T12:00:14Z"/>
        <d v="1899-12-30T12:14:24Z"/>
        <d v="1899-12-30T13:30:14Z"/>
        <d v="1899-12-30T14:00:14Z"/>
        <d v="1899-12-30T20:50:09Z"/>
      </sharedItems>
    </cacheField>
    <cacheField name="Incio Break 2 Sabado" numFmtId="20">
      <sharedItems containsDate="1" containsString="0" containsBlank="1">
        <d v="1899-12-30T19:50:00Z"/>
        <m/>
        <d v="1899-12-30T03:50:00Z"/>
        <d v="1899-12-30T20:50:00Z"/>
      </sharedItems>
    </cacheField>
    <cacheField name="Termina Break 2 Sabado">
      <sharedItems containsDate="1" containsBlank="1" containsMixedTypes="1">
        <d v="1899-12-30T20:00:04Z"/>
        <m/>
        <s v=""/>
        <d v="1899-12-30T04:00:04Z"/>
        <d v="1899-12-30T21:00:04Z"/>
      </sharedItems>
    </cacheField>
    <cacheField name="Horas Sabado" numFmtId="164">
      <sharedItems containsSemiMixedTypes="0" containsString="0" containsNumber="1">
        <n v="5.999999999999999"/>
        <n v="5.016"/>
        <n v="0.0"/>
        <n v="5.015999999999999"/>
        <n v="6.0"/>
        <n v="7.499999999999998"/>
      </sharedItems>
    </cacheField>
    <cacheField name="Horas Martes" numFmtId="164">
      <sharedItems containsSemiMixedTypes="0" containsString="0" containsNumber="1">
        <n v="5.999999999999999"/>
        <n v="8.014399999999998"/>
        <n v="-1.0"/>
        <n v="8.0144"/>
        <n v="6.0"/>
        <n v="7.5"/>
        <n v="9.008"/>
      </sharedItems>
    </cacheField>
    <cacheField name="Horas Miercoles" numFmtId="164">
      <sharedItems containsSemiMixedTypes="0" containsString="0" containsNumber="1">
        <n v="5.999999999999999"/>
        <n v="8.014399999999998"/>
        <n v="-1.0"/>
        <n v="8.0144"/>
        <n v="6.0"/>
        <n v="7.5"/>
        <n v="9.008"/>
      </sharedItems>
    </cacheField>
    <cacheField name="Horas Jueves" numFmtId="164">
      <sharedItems containsSemiMixedTypes="0" containsString="0" containsNumber="1">
        <n v="5.999999999999999"/>
        <n v="8.014399999999998"/>
        <n v="-1.0"/>
        <n v="8.0144"/>
        <n v="6.0"/>
        <n v="7.5"/>
        <n v="9.008"/>
      </sharedItems>
    </cacheField>
    <cacheField name="Horas Viernes" numFmtId="164">
      <sharedItems containsSemiMixedTypes="0" containsString="0" containsNumber="1">
        <n v="5.999999999999999"/>
        <n v="8.014399999999998"/>
        <n v="-1.0"/>
        <n v="8.0144"/>
        <n v="6.0"/>
        <n v="7.5"/>
        <n v="9.008"/>
      </sharedItems>
    </cacheField>
    <cacheField name="Horas Semanales">
      <sharedItems containsMixedTypes="1" containsNumber="1">
        <n v="35.99999999999999"/>
        <n v="45.08799999999999"/>
        <n v="-5.0"/>
        <n v="45.088"/>
        <n v="36.0"/>
        <n v="45.0"/>
        <e v="#ERROR!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6:AY57" sheet="Resumen por Pausas"/>
  </cacheSource>
  <cacheFields>
    <cacheField name="Numero de Agente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</sharedItems>
    </cacheField>
    <cacheField name="Nombre agente" numFmtId="0">
      <sharedItems>
        <s v="Nancy Beatriz Pedroza"/>
        <s v="Carina Alejandra Peliz Reban"/>
        <s v="-"/>
        <s v="Daisy Yomara Mateo"/>
        <s v="Carlo Giordiano Caballero Morales"/>
        <s v="Ani Rubi Lucero Gonzalez"/>
        <s v="Hilda Sofia Gonzalez De León"/>
        <s v="Jorge Israel Reyes Valencia"/>
        <s v="Marcos Geovanny Coronado Giron"/>
        <s v="Anyely Eunice Florian Florian"/>
        <s v="Jennifer Alicia Boror Rodriguez"/>
        <s v="Juan José Puluc Chaicoj"/>
        <s v="Lydicen Anabelly Navarijo Padilla"/>
        <s v="Cindy Melissa Aroche Ortiz"/>
        <s v="Katherin Gabriela Monzon Vivar"/>
        <s v="Velvet Esmeralda Quiroz Godinez"/>
        <s v="Marcela Alessandra López Melgar"/>
        <s v="Ana Marilú González de la Cruz"/>
        <s v="Ingrid Rebeca Santizo Lopez"/>
        <s v="Byron Abdiel Santos Mejia"/>
        <s v="Karen Lisbeth Vega Ramirez"/>
        <s v="Osiris Azucena Leiva Leon"/>
        <s v="Gabriela Abigail Guzman Diaz"/>
        <s v="Consuelo Magali Herrarte Bautista"/>
        <s v="Yoselin Delfina Lucas Juárez"/>
        <s v="Marleny Elizabeth Orozco Carrera"/>
        <s v="Cristian Eduardo Xiloj Zamor"/>
        <s v="Diego Leonardo Patzan Patzan"/>
        <s v="Erick Gabriel Velasquez Marroquin"/>
        <s v="Catherine Patricia Castillo Monzon "/>
        <s v="Yandira Yaneth Balcarcel Perez"/>
        <s v="Laura Lucia Rabanales Oliva"/>
        <s v="Lilian Josefina Ramirez Estrada"/>
        <s v="Wilson Saúl Gómez Mendoza"/>
        <s v="Carmen Yanira Brán Oliva"/>
        <s v="Katherine Nicole Colmenares Véliz"/>
        <s v="Laptop"/>
        <s v="Yissa Julavy Aquino Garcia"/>
        <s v="Karla Isabel Herandez Rivas"/>
        <s v="Anthony Stiven Yocute Aragon"/>
        <s v="Daylin Paulette Quiroa Quiroa"/>
        <s v="Nora Azucena Sanchez Rodriguez"/>
      </sharedItems>
    </cacheField>
    <cacheField name="Semana #" numFmtId="0">
      <sharedItems>
        <s v="Semana 1"/>
      </sharedItems>
    </cacheField>
    <cacheField name="Skill" numFmtId="0">
      <sharedItems>
        <s v="AGENTE"/>
        <s v="REDES"/>
        <s v="-"/>
        <s v="SOPORTE"/>
        <s v="AGENTE RM"/>
        <s v="CONTROL"/>
        <s v="AGENTE APERTURA"/>
        <s v="SUPERVISORA"/>
        <s v="CAPACITACION"/>
        <s v="Lap"/>
        <s v="AGENTE CIERRE"/>
      </sharedItems>
    </cacheField>
    <cacheField name="Entrada" numFmtId="20">
      <sharedItems containsDate="1" containsString="0" containsBlank="1">
        <d v="1899-12-30T17:00:00Z"/>
        <d v="1899-12-30T09:00:00Z"/>
        <m/>
        <d v="1899-12-30T07:00:00Z"/>
        <d v="1899-12-30T06:30:00Z"/>
        <d v="1899-12-30T08:00:00Z"/>
        <d v="1899-12-30T07:30:00Z"/>
        <d v="1899-12-30T00:00:00Z"/>
        <d v="1899-12-30T10:00:00Z"/>
      </sharedItems>
    </cacheField>
    <cacheField name="Salida">
      <sharedItems containsDate="1" containsMixedTypes="1">
        <d v="1899-12-31T00:00:00Z"/>
        <d v="1899-12-30T18:00:51Z"/>
        <s v=" "/>
        <d v="1899-12-30T16:00:51Z"/>
        <d v="1899-12-30T15:30:51Z"/>
        <d v="1899-12-30T17:00:51Z"/>
        <d v="1899-12-30T16:30:51Z"/>
        <d v="1899-12-30T07:00:00Z"/>
        <d v="1899-12-30T19:00:51Z"/>
        <d v="1899-12-30T16:30:00Z"/>
      </sharedItems>
    </cacheField>
    <cacheField name="Inicio Almuerzo" numFmtId="20">
      <sharedItems containsDate="1" containsString="0" containsBlank="1">
        <d v="1899-12-30T19:00:00Z"/>
        <d v="1899-12-30T12:00:00Z"/>
        <m/>
        <d v="1899-12-30T13:00:00Z"/>
        <d v="1899-12-30T14:00:00Z"/>
        <d v="1899-12-30T13:30:00Z"/>
        <d v="1899-12-30T03:00:00Z"/>
        <d v="1899-12-30T15:00:00Z"/>
        <d v="1899-12-30T20:00:00Z"/>
        <d v="1899-12-30T12:30:00Z"/>
      </sharedItems>
    </cacheField>
    <cacheField name="Termina Almuerzo">
      <sharedItems containsDate="1" containsMixedTypes="1">
        <d v="1899-12-30T19:30:00Z"/>
        <d v="1899-12-30T13:00:28Z"/>
        <s v=" - "/>
        <d v="1899-12-30T14:00:28Z"/>
        <d v="1899-12-30T15:00:28Z"/>
        <d v="1899-12-30T14:30:28Z"/>
        <d v="1899-12-30T03:30:14Z"/>
        <d v="1899-12-30T16:00:28Z"/>
        <d v="1899-12-30T20:30:14Z"/>
        <d v="1899-12-30T13:30:28Z"/>
      </sharedItems>
    </cacheField>
    <cacheField name="Incio Break 1" numFmtId="20">
      <sharedItems containsDate="1" containsString="0" containsBlank="1">
        <d v="1899-12-30T19:30:00Z"/>
        <d v="1899-12-30T10:00:00Z"/>
        <m/>
        <d v="1899-12-30T08:40:00Z"/>
        <d v="1899-12-30T10:20:00Z"/>
        <d v="1899-12-30T08:20:00Z"/>
        <d v="1899-12-30T09:30:00Z"/>
        <d v="1899-12-30T09:15:00Z"/>
        <d v="1899-12-30T08:00:00Z"/>
        <d v="1899-12-30T03:30:00Z"/>
        <d v="1899-12-30T07:00:00Z"/>
        <d v="1899-12-30T11:00:00Z"/>
        <d v="1899-12-30T08:30:00Z"/>
        <d v="1899-12-30T10:30:00Z"/>
        <d v="1899-12-30T10:40:00Z"/>
        <d v="1899-12-30T08:15:00Z"/>
        <d v="1899-12-30T20:30:00Z"/>
      </sharedItems>
    </cacheField>
    <cacheField name="Termina Break 1">
      <sharedItems containsDate="1" containsMixedTypes="1">
        <d v="1899-12-30T19:50:09Z"/>
        <d v="1899-12-30T10:20:09Z"/>
        <s v=" - "/>
        <d v="1899-12-30T09:00:09Z"/>
        <d v="1899-12-30T10:40:09Z"/>
        <d v="1899-12-30T08:40:09Z"/>
        <d v="1899-12-30T09:50:09Z"/>
        <d v="1899-12-30T09:35:09Z"/>
        <d v="1899-12-30T08:20:09Z"/>
        <d v="1899-12-30T03:50:09Z"/>
        <d v="1899-12-30T07:20:09Z"/>
        <d v="1899-12-30T11:20:09Z"/>
        <d v="1899-12-30T08:50:09Z"/>
        <d v="1899-12-30T10:50:09Z"/>
        <d v="1899-12-30T11:00:09Z"/>
        <d v="1899-12-30T08:35:09Z"/>
        <d v="1899-12-30T20:50:09Z"/>
      </sharedItems>
    </cacheField>
    <cacheField name="Incio Break 2 " numFmtId="20">
      <sharedItems containsDate="1" containsString="0" containsBlank="1">
        <d v="1899-12-30T19:50:00Z"/>
        <d v="1899-12-30T15:30:00Z"/>
        <m/>
        <d v="1899-12-30T14:20:00Z"/>
        <d v="1899-12-30T15:40:00Z"/>
        <d v="1899-12-30T14:10:00Z"/>
        <d v="1899-12-30T16:00:00Z"/>
        <d v="1899-12-30T16:45:00Z"/>
        <d v="1899-12-30T14:30:00Z"/>
        <d v="1899-12-30T14:00:00Z"/>
        <d v="1899-12-30T03:50:00Z"/>
        <d v="1899-12-30T17:15:00Z"/>
        <d v="1899-12-30T15:50:00Z"/>
        <d v="1899-12-30T15:45:00Z"/>
        <d v="1899-12-30T18:00:00Z"/>
        <d v="1899-12-30T16:15:00Z"/>
        <d v="1899-12-30T14:15:00Z"/>
        <d v="1899-12-30T03:30:00Z"/>
        <d v="1899-12-30T14:50:00Z"/>
        <d v="1899-12-30T20:50:00Z"/>
      </sharedItems>
    </cacheField>
    <cacheField name="Termina Break 2">
      <sharedItems containsDate="1" containsMixedTypes="1">
        <d v="1899-12-30T20:00:04Z"/>
        <d v="1899-12-30T15:40:04Z"/>
        <s v=" - "/>
        <d v="1899-12-30T14:30:04Z"/>
        <d v="1899-12-30T15:50:04Z"/>
        <d v="1899-12-30T14:20:04Z"/>
        <d v="1899-12-30T16:10:04Z"/>
        <d v="1899-12-30T16:55:04Z"/>
        <d v="1899-12-30T14:40:04Z"/>
        <d v="1899-12-30T14:10:04Z"/>
        <d v="1899-12-30T04:00:04Z"/>
        <d v="1899-12-30T17:25:04Z"/>
        <d v="1899-12-30T16:00:04Z"/>
        <d v="1899-12-30T15:55:04Z"/>
        <d v="1899-12-30T18:10:04Z"/>
        <d v="1899-12-30T16:25:04Z"/>
        <d v="1899-12-30T14:25:04Z"/>
        <d v="1899-12-30T03:40:04Z"/>
        <d v="1899-12-30T15:00:04Z"/>
        <d v="1899-12-30T21:00:04Z"/>
      </sharedItems>
    </cacheField>
    <cacheField name="Horas Lunes" numFmtId="164">
      <sharedItems containsSemiMixedTypes="0" containsString="0" containsNumber="1">
        <n v="5.999999999999999"/>
        <n v="8.014399999999998"/>
        <n v="-1.0"/>
        <n v="8.0144"/>
        <n v="6.0"/>
        <n v="7.5"/>
      </sharedItems>
    </cacheField>
    <cacheField name="Entrada Sabado" numFmtId="20">
      <sharedItems containsDate="1" containsString="0" containsBlank="1">
        <d v="1899-12-30T17:00:00Z"/>
        <d v="1899-12-30T10:00:00Z"/>
        <m/>
        <d v="1899-12-30T08:30:00Z"/>
        <d v="1899-12-30T09:00:00Z"/>
        <d v="1899-12-30T06:30:00Z"/>
        <d v="1899-12-30T08:00:00Z"/>
        <d v="1899-12-30T00:00:00Z"/>
        <d v="1899-12-30T07:00:00Z"/>
      </sharedItems>
    </cacheField>
    <cacheField name="Salida Sabado">
      <sharedItems containsDate="1" containsBlank="1" containsMixedTypes="1">
        <d v="1899-12-31T00:00:00Z"/>
        <d v="1899-12-30T15:00:57Z"/>
        <m/>
        <s v=""/>
        <d v="1899-12-30T13:30:57Z"/>
        <d v="1899-12-30T14:00:57Z"/>
        <d v="1899-12-30T11:30:57Z"/>
        <d v="1899-12-30T13:00:57Z"/>
        <d v="1899-12-30T07:00:00Z"/>
        <s v=" "/>
        <d v="1899-12-30T12:00:57Z"/>
        <d v="1899-12-30T16:00:00Z"/>
      </sharedItems>
    </cacheField>
    <cacheField name="Inicio AlmuerzoSabado" numFmtId="20">
      <sharedItems containsDate="1" containsString="0" containsBlank="1">
        <d v="1899-12-30T19:00:00Z"/>
        <m/>
        <d v="1899-12-30T03:00:00Z"/>
        <d v="1899-12-30T20:00:00Z"/>
      </sharedItems>
    </cacheField>
    <cacheField name="Termina Almuerzo Sabado">
      <sharedItems containsDate="1" containsBlank="1" containsMixedTypes="1">
        <d v="1899-12-30T19:30:00Z"/>
        <m/>
        <s v=""/>
        <d v="1899-12-30T03:30:14Z"/>
        <d v="1899-12-30T20:30:14Z"/>
        <s v=" - "/>
      </sharedItems>
    </cacheField>
    <cacheField name="Incio Break 1 Sabado" numFmtId="20">
      <sharedItems containsDate="1" containsString="0" containsBlank="1">
        <d v="1899-12-30T19:30:00Z"/>
        <d v="1899-12-30T10:30:00Z"/>
        <m/>
        <d v="1899-12-30T09:00:00Z"/>
        <d v="1899-12-30T09:30:00Z"/>
        <d v="1899-12-30T07:30:00Z"/>
        <d v="1899-12-30T08:30:00Z"/>
        <d v="1899-12-30T10:00:00Z"/>
        <d v="1899-12-30T03:30:00Z"/>
        <d v="1899-12-30T09:03:00Z"/>
        <d v="1899-12-30T08:00:00Z"/>
        <d v="1899-12-30T11:00:00Z"/>
        <d v="1899-12-30T11:30:00Z"/>
        <d v="1899-12-30T12:00:00Z"/>
        <d v="1899-12-30T13:00:00Z"/>
        <d v="1899-12-30T13:30:00Z"/>
        <d v="1899-12-30T20:30:00Z"/>
      </sharedItems>
    </cacheField>
    <cacheField name="Termina Break 1 Sabado">
      <sharedItems containsDate="1" containsBlank="1" containsMixedTypes="1">
        <d v="1899-12-30T19:50:09Z"/>
        <d v="1899-12-30T11:00:14Z"/>
        <s v=""/>
        <d v="1899-12-30T09:30:14Z"/>
        <d v="1899-12-30T10:00:14Z"/>
        <m/>
        <d v="1899-12-30T08:00:14Z"/>
        <d v="1899-12-30T09:00:14Z"/>
        <d v="1899-12-30T10:30:14Z"/>
        <d v="1899-12-30T03:50:09Z"/>
        <d v="1899-12-30T09:17:24Z"/>
        <d v="1899-12-30T08:30:14Z"/>
        <d v="1899-12-30T11:30:14Z"/>
        <d v="1899-12-30T12:00:14Z"/>
        <d v="1899-12-30T12:14:24Z"/>
        <d v="1899-12-30T13:30:14Z"/>
        <d v="1899-12-30T14:00:14Z"/>
        <d v="1899-12-30T20:50:09Z"/>
      </sharedItems>
    </cacheField>
    <cacheField name="Incio Break 2 Sabado" numFmtId="20">
      <sharedItems containsDate="1" containsString="0" containsBlank="1">
        <d v="1899-12-30T19:50:00Z"/>
        <m/>
        <d v="1899-12-30T03:50:00Z"/>
        <d v="1899-12-30T20:50:00Z"/>
      </sharedItems>
    </cacheField>
    <cacheField name="Termina Break 2 Sabado">
      <sharedItems containsDate="1" containsBlank="1" containsMixedTypes="1">
        <d v="1899-12-30T20:00:04Z"/>
        <m/>
        <s v=""/>
        <d v="1899-12-30T04:00:04Z"/>
        <d v="1899-12-30T21:00:04Z"/>
      </sharedItems>
    </cacheField>
    <cacheField name="Horas Sabado" numFmtId="164">
      <sharedItems containsSemiMixedTypes="0" containsString="0" containsNumber="1">
        <n v="5.999999999999999"/>
        <n v="5.016"/>
        <n v="0.0"/>
        <n v="5.015999999999999"/>
        <n v="6.0"/>
        <n v="7.499999999999998"/>
      </sharedItems>
    </cacheField>
    <cacheField name="Horas Martes" numFmtId="164">
      <sharedItems containsSemiMixedTypes="0" containsString="0" containsNumber="1">
        <n v="5.999999999999999"/>
        <n v="8.014399999999998"/>
        <n v="-1.0"/>
        <n v="8.0144"/>
        <n v="6.0"/>
        <n v="7.5"/>
      </sharedItems>
    </cacheField>
    <cacheField name="Horas Miercoles" numFmtId="164">
      <sharedItems containsSemiMixedTypes="0" containsString="0" containsNumber="1">
        <n v="5.999999999999999"/>
        <n v="8.014399999999998"/>
        <n v="-1.0"/>
        <n v="8.0144"/>
        <n v="6.0"/>
        <n v="7.5"/>
      </sharedItems>
    </cacheField>
    <cacheField name="Horas Jueves" numFmtId="164">
      <sharedItems containsSemiMixedTypes="0" containsString="0" containsNumber="1">
        <n v="5.999999999999999"/>
        <n v="8.014399999999998"/>
        <n v="-1.0"/>
        <n v="8.0144"/>
        <n v="6.0"/>
        <n v="7.5"/>
      </sharedItems>
    </cacheField>
    <cacheField name="Horas Viernes" numFmtId="164">
      <sharedItems containsSemiMixedTypes="0" containsString="0" containsNumber="1">
        <n v="5.999999999999999"/>
        <n v="8.014399999999998"/>
        <n v="-1.0"/>
        <n v="8.0144"/>
        <n v="6.0"/>
        <n v="7.5"/>
      </sharedItems>
    </cacheField>
    <cacheField name="Horas Semanales" numFmtId="164">
      <sharedItems containsSemiMixedTypes="0" containsString="0" containsNumber="1">
        <n v="35.99999999999999"/>
        <n v="45.08799999999999"/>
        <n v="-5.0"/>
        <n v="45.088"/>
        <n v="36.0"/>
        <n v="4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sumen por Pausas" cacheId="0" dataCaption="" rowGrandTotals="0" showHeaders="0">
  <location ref="B13:E13" firstHeaderRow="0" firstDataRow="1" firstDataCol="0" rowPageCount="1" colPageCount="1"/>
  <pivotFields>
    <pivotField name="Numero de Agent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ombre agente" axis="axisRow" outline="0" multipleItemSelectionAllowed="1" showAll="0" sortType="ascending">
      <items>
        <item x="2"/>
        <item x="17"/>
        <item x="5"/>
        <item x="39"/>
        <item x="9"/>
        <item x="43"/>
        <item x="19"/>
        <item x="1"/>
        <item x="4"/>
        <item x="34"/>
        <item x="29"/>
        <item x="13"/>
        <item x="23"/>
        <item x="26"/>
        <item x="3"/>
        <item x="40"/>
        <item x="27"/>
        <item x="42"/>
        <item x="28"/>
        <item x="22"/>
        <item x="6"/>
        <item x="18"/>
        <item x="10"/>
        <item x="7"/>
        <item x="11"/>
        <item x="20"/>
        <item x="38"/>
        <item x="14"/>
        <item x="35"/>
        <item x="36"/>
        <item x="31"/>
        <item x="32"/>
        <item x="12"/>
        <item x="16"/>
        <item x="8"/>
        <item x="46"/>
        <item x="25"/>
        <item x="47"/>
        <item x="0"/>
        <item x="41"/>
        <item x="45"/>
        <item x="21"/>
        <item x="15"/>
        <item x="44"/>
        <item x="33"/>
        <item x="30"/>
        <item x="37"/>
        <item x="24"/>
        <item t="default"/>
      </items>
    </pivotField>
    <pivotField name="Semana #" outline="0" multipleItemSelectionAllowed="1" showAll="0">
      <items>
        <item x="0"/>
        <item t="default"/>
      </items>
    </pivotField>
    <pivotField name="Skill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ntrada" axis="axisPage" numFmtId="2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t="default"/>
      </items>
    </pivotField>
    <pivotField name="Salida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Inicio Almuerzo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ermina Almuerz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Incio Break 1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ermina Break 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Incio Break 2 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ermina Break 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Horas Lunes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ntrada Sabado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ida Sabad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Inicio AlmuerzoSabado" numFmtId="20" outline="0" multipleItemSelectionAllowed="1" showAll="0">
      <items>
        <item x="0"/>
        <item x="1"/>
        <item x="2"/>
        <item x="3"/>
        <item t="default"/>
      </items>
    </pivotField>
    <pivotField name="Termina Almuerzo Sabado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cio Break 1 Sabado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ermina Break 1 Sabad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Incio Break 2 Sabado" numFmtId="20" outline="0" multipleItemSelectionAllowed="1" showAll="0">
      <items>
        <item x="0"/>
        <item x="1"/>
        <item x="2"/>
        <item x="3"/>
        <item t="default"/>
      </items>
    </pivotField>
    <pivotField name="Termina Break 2 Sabado" outline="0" multipleItemSelectionAllowed="1" showAll="0">
      <items>
        <item x="0"/>
        <item x="1"/>
        <item x="2"/>
        <item x="3"/>
        <item x="4"/>
        <item t="default"/>
      </items>
    </pivotField>
    <pivotField name="Horas Sabado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Horas Martes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ras Miercoles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ras Jueves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ras Viernes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ras Semanales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"/>
  </rowFields>
  <pageFields>
    <pageField fld="4"/>
  </pageFields>
</pivotTableDefinition>
</file>

<file path=xl/pivotTables/pivotTable2.xml><?xml version="1.0" encoding="utf-8"?>
<pivotTableDefinition xmlns="http://schemas.openxmlformats.org/spreadsheetml/2006/main" name="Resumen por Pausas 2" cacheId="0" dataCaption="" rowGrandTotals="0" showHeaders="0">
  <location ref="E13:H13" firstHeaderRow="0" firstDataRow="1" firstDataCol="0" rowPageCount="1" colPageCount="1"/>
  <pivotFields>
    <pivotField name="Numero de Agent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ombre agente" axis="axisRow" outline="0" multipleItemSelectionAllowed="1" showAll="0" sortType="ascending">
      <items>
        <item x="2"/>
        <item x="17"/>
        <item x="5"/>
        <item x="39"/>
        <item x="9"/>
        <item x="43"/>
        <item x="19"/>
        <item x="1"/>
        <item x="4"/>
        <item x="34"/>
        <item x="29"/>
        <item x="13"/>
        <item x="23"/>
        <item x="26"/>
        <item x="3"/>
        <item x="40"/>
        <item x="27"/>
        <item x="42"/>
        <item x="28"/>
        <item x="22"/>
        <item x="6"/>
        <item x="18"/>
        <item x="10"/>
        <item x="7"/>
        <item x="11"/>
        <item x="20"/>
        <item x="38"/>
        <item x="14"/>
        <item x="35"/>
        <item x="36"/>
        <item x="31"/>
        <item x="32"/>
        <item x="12"/>
        <item x="16"/>
        <item x="8"/>
        <item x="46"/>
        <item x="25"/>
        <item x="47"/>
        <item x="0"/>
        <item x="41"/>
        <item x="45"/>
        <item x="21"/>
        <item x="15"/>
        <item x="44"/>
        <item x="33"/>
        <item x="30"/>
        <item x="37"/>
        <item x="24"/>
        <item t="default"/>
      </items>
    </pivotField>
    <pivotField name="Semana #" outline="0" multipleItemSelectionAllowed="1" showAll="0">
      <items>
        <item x="0"/>
        <item t="default"/>
      </items>
    </pivotField>
    <pivotField name="Skill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ntrada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ida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Inicio Almuerzo" axis="axisPage" numFmtId="2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t="default"/>
      </items>
    </pivotField>
    <pivotField name="Termina Almuerz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Incio Break 1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ermina Break 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Incio Break 2 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ermina Break 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Horas Lunes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ntrada Sabado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ida Sabad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Inicio AlmuerzoSabado" numFmtId="20" outline="0" multipleItemSelectionAllowed="1" showAll="0">
      <items>
        <item x="0"/>
        <item x="1"/>
        <item x="2"/>
        <item x="3"/>
        <item t="default"/>
      </items>
    </pivotField>
    <pivotField name="Termina Almuerzo Sabado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cio Break 1 Sabado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ermina Break 1 Sabad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Incio Break 2 Sabado" numFmtId="20" outline="0" multipleItemSelectionAllowed="1" showAll="0">
      <items>
        <item x="0"/>
        <item x="1"/>
        <item x="2"/>
        <item x="3"/>
        <item t="default"/>
      </items>
    </pivotField>
    <pivotField name="Termina Break 2 Sabado" outline="0" multipleItemSelectionAllowed="1" showAll="0">
      <items>
        <item x="0"/>
        <item x="1"/>
        <item x="2"/>
        <item x="3"/>
        <item x="4"/>
        <item t="default"/>
      </items>
    </pivotField>
    <pivotField name="Horas Sabado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Horas Martes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ras Miercoles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ras Jueves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ras Viernes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ras Semanales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"/>
  </rowFields>
  <pageFields>
    <pageField fld="6"/>
  </pageFields>
</pivotTableDefinition>
</file>

<file path=xl/pivotTables/pivotTable3.xml><?xml version="1.0" encoding="utf-8"?>
<pivotTableDefinition xmlns="http://schemas.openxmlformats.org/spreadsheetml/2006/main" name="Resumen por Pausas 3" cacheId="0" dataCaption="" rowGrandTotals="0" showHeaders="0">
  <location ref="H13:K13" firstHeaderRow="0" firstDataRow="1" firstDataCol="0" rowPageCount="1" colPageCount="1"/>
  <pivotFields>
    <pivotField name="Numero de Agent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ombre agente" axis="axisRow" outline="0" multipleItemSelectionAllowed="1" showAll="0" sortType="ascending">
      <items>
        <item x="2"/>
        <item x="17"/>
        <item x="5"/>
        <item x="39"/>
        <item x="9"/>
        <item x="43"/>
        <item x="19"/>
        <item x="1"/>
        <item x="4"/>
        <item x="34"/>
        <item x="29"/>
        <item x="13"/>
        <item x="23"/>
        <item x="26"/>
        <item x="3"/>
        <item x="40"/>
        <item x="27"/>
        <item x="42"/>
        <item x="28"/>
        <item x="22"/>
        <item x="6"/>
        <item x="18"/>
        <item x="10"/>
        <item x="7"/>
        <item x="11"/>
        <item x="20"/>
        <item x="38"/>
        <item x="14"/>
        <item x="35"/>
        <item x="36"/>
        <item x="31"/>
        <item x="32"/>
        <item x="12"/>
        <item x="16"/>
        <item x="8"/>
        <item x="46"/>
        <item x="25"/>
        <item x="47"/>
        <item x="0"/>
        <item x="41"/>
        <item x="45"/>
        <item x="21"/>
        <item x="15"/>
        <item x="44"/>
        <item x="33"/>
        <item x="30"/>
        <item x="37"/>
        <item x="24"/>
        <item t="default"/>
      </items>
    </pivotField>
    <pivotField name="Semana #" outline="0" multipleItemSelectionAllowed="1" showAll="0">
      <items>
        <item x="0"/>
        <item t="default"/>
      </items>
    </pivotField>
    <pivotField name="Skill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ntrada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ida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Inicio Almuerzo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ermina Almuerz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Incio Break 1" axis="axisPage" numFmtId="2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t="default"/>
      </items>
    </pivotField>
    <pivotField name="Termina Break 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Incio Break 2 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ermina Break 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Horas Lunes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ntrada Sabado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ida Sabad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Inicio AlmuerzoSabado" numFmtId="20" outline="0" multipleItemSelectionAllowed="1" showAll="0">
      <items>
        <item x="0"/>
        <item x="1"/>
        <item x="2"/>
        <item x="3"/>
        <item t="default"/>
      </items>
    </pivotField>
    <pivotField name="Termina Almuerzo Sabado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cio Break 1 Sabado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ermina Break 1 Sabad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Incio Break 2 Sabado" numFmtId="20" outline="0" multipleItemSelectionAllowed="1" showAll="0">
      <items>
        <item x="0"/>
        <item x="1"/>
        <item x="2"/>
        <item x="3"/>
        <item t="default"/>
      </items>
    </pivotField>
    <pivotField name="Termina Break 2 Sabado" outline="0" multipleItemSelectionAllowed="1" showAll="0">
      <items>
        <item x="0"/>
        <item x="1"/>
        <item x="2"/>
        <item x="3"/>
        <item x="4"/>
        <item t="default"/>
      </items>
    </pivotField>
    <pivotField name="Horas Sabado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Horas Martes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ras Miercoles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ras Jueves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ras Viernes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ras Semanales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"/>
  </rowFields>
  <pageFields>
    <pageField fld="8"/>
  </pageFields>
</pivotTableDefinition>
</file>

<file path=xl/pivotTables/pivotTable4.xml><?xml version="1.0" encoding="utf-8"?>
<pivotTableDefinition xmlns="http://schemas.openxmlformats.org/spreadsheetml/2006/main" name="Resumen por Pausas 4" cacheId="0" dataCaption="" rowGrandTotals="0" showHeaders="0">
  <location ref="K13:N13" firstHeaderRow="0" firstDataRow="1" firstDataCol="0" rowPageCount="1" colPageCount="1"/>
  <pivotFields>
    <pivotField name="Numero de Agent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ombre agente" axis="axisRow" outline="0" multipleItemSelectionAllowed="1" showAll="0" sortType="ascending">
      <items>
        <item x="2"/>
        <item x="17"/>
        <item x="5"/>
        <item x="39"/>
        <item x="9"/>
        <item x="43"/>
        <item x="19"/>
        <item x="1"/>
        <item x="4"/>
        <item x="34"/>
        <item x="29"/>
        <item x="13"/>
        <item x="23"/>
        <item x="26"/>
        <item x="3"/>
        <item x="40"/>
        <item x="27"/>
        <item x="42"/>
        <item x="28"/>
        <item x="22"/>
        <item x="6"/>
        <item x="18"/>
        <item x="10"/>
        <item x="7"/>
        <item x="11"/>
        <item x="20"/>
        <item x="38"/>
        <item x="14"/>
        <item x="35"/>
        <item x="36"/>
        <item x="31"/>
        <item x="32"/>
        <item x="12"/>
        <item x="16"/>
        <item x="8"/>
        <item x="46"/>
        <item x="25"/>
        <item x="47"/>
        <item x="0"/>
        <item x="41"/>
        <item x="45"/>
        <item x="21"/>
        <item x="15"/>
        <item x="44"/>
        <item x="33"/>
        <item x="30"/>
        <item x="37"/>
        <item x="24"/>
        <item t="default"/>
      </items>
    </pivotField>
    <pivotField name="Semana #" outline="0" multipleItemSelectionAllowed="1" showAll="0">
      <items>
        <item x="0"/>
        <item t="default"/>
      </items>
    </pivotField>
    <pivotField name="Skill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ntrada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ida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Inicio Almuerzo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ermina Almuerz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Incio Break 1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ermina Break 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Incio Break 2 " axis="axisPage" numFmtId="2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t="default"/>
      </items>
    </pivotField>
    <pivotField name="Termina Break 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Horas Lunes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ntrada Sabado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ida Sabad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Inicio AlmuerzoSabado" numFmtId="20" outline="0" multipleItemSelectionAllowed="1" showAll="0">
      <items>
        <item x="0"/>
        <item x="1"/>
        <item x="2"/>
        <item x="3"/>
        <item t="default"/>
      </items>
    </pivotField>
    <pivotField name="Termina Almuerzo Sabado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cio Break 1 Sabado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ermina Break 1 Sabad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Incio Break 2 Sabado" numFmtId="20" outline="0" multipleItemSelectionAllowed="1" showAll="0">
      <items>
        <item x="0"/>
        <item x="1"/>
        <item x="2"/>
        <item x="3"/>
        <item t="default"/>
      </items>
    </pivotField>
    <pivotField name="Termina Break 2 Sabado" outline="0" multipleItemSelectionAllowed="1" showAll="0">
      <items>
        <item x="0"/>
        <item x="1"/>
        <item x="2"/>
        <item x="3"/>
        <item x="4"/>
        <item t="default"/>
      </items>
    </pivotField>
    <pivotField name="Horas Sabado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Horas Martes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ras Miercoles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ras Jueves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ras Viernes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ras Semanales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"/>
  </rowFields>
  <pageFields>
    <pageField fld="10"/>
  </pageFields>
</pivotTableDefinition>
</file>

<file path=xl/pivotTables/pivotTable5.xml><?xml version="1.0" encoding="utf-8"?>
<pivotTableDefinition xmlns="http://schemas.openxmlformats.org/spreadsheetml/2006/main" name="Resumen por Pausas 5" cacheId="1" dataCaption="" rowGrandTotals="0" showHeaders="0">
  <location ref="N13:Q13" firstHeaderRow="0" firstDataRow="1" firstDataCol="0" rowPageCount="1" colPageCount="1"/>
  <pivotFields>
    <pivotField name="Numero de Agent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Nombre agente" axis="axisRow" outline="0" multipleItemSelectionAllowed="1" showAll="0" sortType="ascending">
      <items>
        <item h="1" x="2"/>
        <item x="17"/>
        <item x="5"/>
        <item x="39"/>
        <item x="9"/>
        <item x="19"/>
        <item x="1"/>
        <item x="4"/>
        <item x="34"/>
        <item h="1" x="29"/>
        <item x="13"/>
        <item x="23"/>
        <item x="26"/>
        <item x="3"/>
        <item x="40"/>
        <item h="1" x="27"/>
        <item x="28"/>
        <item x="22"/>
        <item x="6"/>
        <item x="18"/>
        <item x="10"/>
        <item x="7"/>
        <item x="11"/>
        <item x="20"/>
        <item x="38"/>
        <item x="14"/>
        <item x="35"/>
        <item x="36"/>
        <item x="31"/>
        <item x="32"/>
        <item x="12"/>
        <item x="16"/>
        <item x="8"/>
        <item h="1" x="25"/>
        <item x="0"/>
        <item x="41"/>
        <item x="21"/>
        <item x="15"/>
        <item x="33"/>
        <item x="30"/>
        <item x="37"/>
        <item x="24"/>
        <item t="default"/>
      </items>
    </pivotField>
    <pivotField name="Semana #" outline="0" multipleItemSelectionAllowed="1" showAll="0">
      <items>
        <item x="0"/>
        <item t="default"/>
      </items>
    </pivotField>
    <pivotField name="Skill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ntrada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ida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icio Almuerzo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ermina Almuerz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cio Break 1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ermina Break 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Incio Break 2 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ermina Break 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Horas Lunes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ntrada Sabado" axis="axisPage" numFmtId="2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t="default"/>
      </items>
    </pivotField>
    <pivotField name="Salida Sabad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Inicio AlmuerzoSabado" numFmtId="20" outline="0" multipleItemSelectionAllowed="1" showAll="0">
      <items>
        <item x="0"/>
        <item x="1"/>
        <item x="2"/>
        <item x="3"/>
        <item t="default"/>
      </items>
    </pivotField>
    <pivotField name="Termina Almuerzo Sabado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cio Break 1 Sabado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ermina Break 1 Sabad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Incio Break 2 Sabado" numFmtId="20" outline="0" multipleItemSelectionAllowed="1" showAll="0">
      <items>
        <item x="0"/>
        <item x="1"/>
        <item x="2"/>
        <item x="3"/>
        <item t="default"/>
      </items>
    </pivotField>
    <pivotField name="Termina Break 2 Sabado" outline="0" multipleItemSelectionAllowed="1" showAll="0">
      <items>
        <item x="0"/>
        <item x="1"/>
        <item x="2"/>
        <item x="3"/>
        <item x="4"/>
        <item t="default"/>
      </items>
    </pivotField>
    <pivotField name="Horas Sabado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Horas Martes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Horas Miercoles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Horas Jueves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Horas Viernes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Horas Semanales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"/>
  </rowFields>
  <pageFields>
    <pageField fld="13"/>
  </pageFields>
</pivotTableDefinition>
</file>

<file path=xl/pivotTables/pivotTable6.xml><?xml version="1.0" encoding="utf-8"?>
<pivotTableDefinition xmlns="http://schemas.openxmlformats.org/spreadsheetml/2006/main" name="Resumen por Pausas 6" cacheId="0" dataCaption="" rowGrandTotals="0" showHeaders="0">
  <location ref="Q13:U22" firstHeaderRow="0" firstDataRow="1" firstDataCol="0" rowPageCount="1" colPageCount="1"/>
  <pivotFields>
    <pivotField name="Numero de Agente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Nombre agente" axis="axisRow" outline="0" multipleItemSelectionAllowed="1" showAll="0" sortType="ascending">
      <items>
        <item x="2"/>
        <item x="17"/>
        <item x="5"/>
        <item x="39"/>
        <item x="9"/>
        <item x="43"/>
        <item x="19"/>
        <item x="1"/>
        <item x="4"/>
        <item x="34"/>
        <item x="29"/>
        <item x="13"/>
        <item x="23"/>
        <item x="26"/>
        <item x="3"/>
        <item x="40"/>
        <item x="27"/>
        <item x="42"/>
        <item x="28"/>
        <item x="22"/>
        <item x="6"/>
        <item x="18"/>
        <item x="10"/>
        <item x="7"/>
        <item x="11"/>
        <item x="20"/>
        <item x="38"/>
        <item x="14"/>
        <item x="35"/>
        <item x="36"/>
        <item x="31"/>
        <item x="32"/>
        <item x="12"/>
        <item x="16"/>
        <item x="8"/>
        <item x="46"/>
        <item x="25"/>
        <item x="47"/>
        <item x="0"/>
        <item x="41"/>
        <item x="45"/>
        <item x="21"/>
        <item x="15"/>
        <item x="44"/>
        <item x="33"/>
        <item x="30"/>
        <item x="37"/>
        <item x="24"/>
        <item t="default"/>
      </items>
    </pivotField>
    <pivotField name="Semana #" outline="0" multipleItemSelectionAllowed="1" showAll="0">
      <items>
        <item x="0"/>
        <item t="default"/>
      </items>
    </pivotField>
    <pivotField name="Skill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ntrada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ida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Inicio Almuerzo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ermina Almuerz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Incio Break 1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ermina Break 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Incio Break 2 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ermina Break 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Horas Lunes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ntrada Sabado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ida Sabad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Inicio AlmuerzoSabado" numFmtId="20" outline="0" multipleItemSelectionAllowed="1" showAll="0">
      <items>
        <item x="0"/>
        <item x="1"/>
        <item x="2"/>
        <item x="3"/>
        <item t="default"/>
      </items>
    </pivotField>
    <pivotField name="Termina Almuerzo Sabado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cio Break 1 Sabado" axis="axisPage" numFmtId="2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t="default"/>
      </items>
    </pivotField>
    <pivotField name="Termina Break 1 Sabado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Incio Break 2 Sabado" numFmtId="20" outline="0" multipleItemSelectionAllowed="1" showAll="0">
      <items>
        <item x="0"/>
        <item x="1"/>
        <item x="2"/>
        <item x="3"/>
        <item t="default"/>
      </items>
    </pivotField>
    <pivotField name="Termina Break 2 Sabado" outline="0" multipleItemSelectionAllowed="1" showAll="0">
      <items>
        <item x="0"/>
        <item x="1"/>
        <item x="2"/>
        <item x="3"/>
        <item x="4"/>
        <item t="default"/>
      </items>
    </pivotField>
    <pivotField name="Horas Sabado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Horas Martes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ras Miercoles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ras Jueves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ras Viernes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Horas Semanales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"/>
  </rowFields>
  <pageFields>
    <pageField fld="17"/>
  </pageFields>
</pivotTableDefinition>
</file>

<file path=xl/tables/table1.xml><?xml version="1.0" encoding="utf-8"?>
<table xmlns="http://schemas.openxmlformats.org/spreadsheetml/2006/main" ref="E5:AC85" displayName="Table_1" name="Table_1" id="1">
  <tableColumns count="25">
    <tableColumn name="Over / Under" id="1"/>
    <tableColumn name="Semana 1" id="2"/>
    <tableColumn name="Skill" id="3"/>
    <tableColumn name="1 Entrada Lunes " id="4"/>
    <tableColumn name="1 Salida Lunes" id="5"/>
    <tableColumn name="1 Inicio Almuerzo Lunes" id="6"/>
    <tableColumn name="1 Termina Almuerzo Lunes" id="7"/>
    <tableColumn name="1 Incio Break 1 Lunes" id="8"/>
    <tableColumn name="1 Termina Break 1 Lunes" id="9"/>
    <tableColumn name="1 Incio Break 2 Lunes" id="10"/>
    <tableColumn name="1 Termina Break 2 Lunes" id="11"/>
    <tableColumn name="1 Horas Lunes" id="12"/>
    <tableColumn name="1 Entrada Sabado" id="13"/>
    <tableColumn name="1 Salida Sabado" id="14"/>
    <tableColumn name="1 Inicio AlmuerzoSabado" id="15"/>
    <tableColumn name="1 Termina Almuerzo Sabado" id="16"/>
    <tableColumn name="1 Incio Break 1 Sabado" id="17"/>
    <tableColumn name="1 Termina Break 1 Sabado" id="18"/>
    <tableColumn name="1 Incio Break 2 Sabado" id="19"/>
    <tableColumn name="1 Termina Break 2 Sabado" id="20"/>
    <tableColumn name="1 Horas Sabado" id="21"/>
    <tableColumn name="1 Horas Martes" id="22"/>
    <tableColumn name="1 Horas Miercoles" id="23"/>
    <tableColumn name="1 Horas Jueves" id="24"/>
    <tableColumn name="1 Horas Viernes" id="25"/>
  </tableColumns>
  <tableStyleInfo name="Semana 1-style" showColumnStripes="0" showFirstColumn="1" showLastColumn="1" showRowStripes="1"/>
</table>
</file>

<file path=xl/tables/table2.xml><?xml version="1.0" encoding="utf-8"?>
<table xmlns="http://schemas.openxmlformats.org/spreadsheetml/2006/main" ref="E5:AC81" displayName="Table_2" name="Table_2" id="2">
  <tableColumns count="25">
    <tableColumn name="Over / Under" id="1"/>
    <tableColumn name="Semana 2" id="2"/>
    <tableColumn name="Skill" id="3"/>
    <tableColumn name="2 Entrada Lunes" id="4"/>
    <tableColumn name="2 Salida Lunes" id="5"/>
    <tableColumn name="2 Inicio Almuerzo Lunes" id="6"/>
    <tableColumn name="2 Termina Almuerzo Lunes" id="7"/>
    <tableColumn name="2 Incio Break 1 Lunes" id="8"/>
    <tableColumn name="2 Termina Break 1 Lunes" id="9"/>
    <tableColumn name="2 Incio Break 2 Lunes" id="10"/>
    <tableColumn name="2 Termina Break 2 Lunes" id="11"/>
    <tableColumn name="2 Horas Lunes" id="12"/>
    <tableColumn name="2 Entrada Sabado" id="13"/>
    <tableColumn name="2 Salida Sabado" id="14"/>
    <tableColumn name="2 Inicio AlmuerzoSabado" id="15"/>
    <tableColumn name="2 Termina Almuerzo Sabado" id="16"/>
    <tableColumn name="2 Incio Break 1 Sabado" id="17"/>
    <tableColumn name="2 Termina Break 1 Sabado" id="18"/>
    <tableColumn name="2 Incio Break 2 Sabado" id="19"/>
    <tableColumn name="2 Termina Break 2 Sabado" id="20"/>
    <tableColumn name="2 Horas Sabado" id="21"/>
    <tableColumn name="2 Horas Martes" id="22"/>
    <tableColumn name="2 Horas Miercoles" id="23"/>
    <tableColumn name="2 Horas Jueves" id="24"/>
    <tableColumn name="2 Horas Viernes" id="25"/>
  </tableColumns>
  <tableStyleInfo name="Semana 2-style" showColumnStripes="0" showFirstColumn="1" showLastColumn="1" showRowStripes="1"/>
</table>
</file>

<file path=xl/tables/table3.xml><?xml version="1.0" encoding="utf-8"?>
<table xmlns="http://schemas.openxmlformats.org/spreadsheetml/2006/main" ref="E5:AC81" displayName="Table_3" name="Table_3" id="3">
  <tableColumns count="25">
    <tableColumn name="Over / Under" id="1"/>
    <tableColumn name="Semana 3" id="2"/>
    <tableColumn name="Skill" id="3"/>
    <tableColumn name="3 Entrada Lunes" id="4"/>
    <tableColumn name="3 Salida Lunes" id="5"/>
    <tableColumn name="Inicio Almuerzo Lunes" id="6"/>
    <tableColumn name="Termina Almuerzo Lunes" id="7"/>
    <tableColumn name="Incio Break 1 Lunes" id="8"/>
    <tableColumn name="Termina Break 1 Lunes" id="9"/>
    <tableColumn name="Incio Break 2 Lunes" id="10"/>
    <tableColumn name="Termina Break 2 Lunes" id="11"/>
    <tableColumn name="Horas Lunes" id="12"/>
    <tableColumn name="Entrada Sabado" id="13"/>
    <tableColumn name="Salida Sabado" id="14"/>
    <tableColumn name="Inicio AlmuerzoSabado" id="15"/>
    <tableColumn name="Termina Almuerzo Sabado" id="16"/>
    <tableColumn name="Incio Break 1 Sabado" id="17"/>
    <tableColumn name="Termina Break 1 Sabado" id="18"/>
    <tableColumn name="Incio Break 2 Sabado" id="19"/>
    <tableColumn name="Termina Break 2 Sabado" id="20"/>
    <tableColumn name="Horas Sabado" id="21"/>
    <tableColumn name="Horas Martes" id="22"/>
    <tableColumn name="Horas Miercoles" id="23"/>
    <tableColumn name="Horas Jueves" id="24"/>
    <tableColumn name="Horas Viernes" id="25"/>
  </tableColumns>
  <tableStyleInfo name="Semana 3-style" showColumnStripes="0" showFirstColumn="1" showLastColumn="1" showRowStripes="1"/>
</table>
</file>

<file path=xl/tables/table4.xml><?xml version="1.0" encoding="utf-8"?>
<table xmlns="http://schemas.openxmlformats.org/spreadsheetml/2006/main" ref="E5:AC81" displayName="Table_4" name="Table_4" id="4">
  <tableColumns count="25">
    <tableColumn name="Over / Under" id="1"/>
    <tableColumn name="Semana 4" id="2"/>
    <tableColumn name="Skill" id="3"/>
    <tableColumn name="Entrada Lunes" id="4"/>
    <tableColumn name="Salida Lunes" id="5"/>
    <tableColumn name="Inicio Almuerzo Lunes" id="6"/>
    <tableColumn name="Termina Almuerzo Lunes" id="7"/>
    <tableColumn name="Incio Break 1 Lunes" id="8"/>
    <tableColumn name="Termina Break 1 Lunes" id="9"/>
    <tableColumn name="Incio Break 2 Lunes" id="10"/>
    <tableColumn name="Termina Break 2 Lunes" id="11"/>
    <tableColumn name="Horas Lunes" id="12"/>
    <tableColumn name="Entrada Sabado" id="13"/>
    <tableColumn name="Salida Sabado" id="14"/>
    <tableColumn name="Inicio AlmuerzoSabado" id="15"/>
    <tableColumn name="Termina Almuerzo Sabado" id="16"/>
    <tableColumn name="Incio Break 1 Sabado" id="17"/>
    <tableColumn name="Termina Break 1 Sabado" id="18"/>
    <tableColumn name="Incio Break 2 Sabado" id="19"/>
    <tableColumn name="Termina Break 2 Sabado" id="20"/>
    <tableColumn name="Horas Sabado" id="21"/>
    <tableColumn name="Horas Martes" id="22"/>
    <tableColumn name="Horas Miercoles" id="23"/>
    <tableColumn name="Horas Jueves" id="24"/>
    <tableColumn name="Horas Viernes" id="25"/>
  </tableColumns>
  <tableStyleInfo name="Semana 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5.0" topLeftCell="F6" activePane="bottomRight" state="frozen"/>
      <selection activeCell="F1" sqref="F1" pane="topRight"/>
      <selection activeCell="A6" sqref="A6" pane="bottomLeft"/>
      <selection activeCell="F6" sqref="F6" pane="bottomRight"/>
    </sheetView>
  </sheetViews>
  <sheetFormatPr customHeight="1" defaultColWidth="16.83" defaultRowHeight="15.0" outlineLevelCol="1"/>
  <cols>
    <col customWidth="1" min="1" max="1" width="1.0"/>
    <col customWidth="1" min="2" max="2" width="4.67"/>
    <col customWidth="1" hidden="1" min="3" max="3" width="8.67"/>
    <col customWidth="1" hidden="1" min="4" max="4" width="7.83"/>
    <col customWidth="1" min="5" max="5" width="37.17"/>
    <col customWidth="1" min="6" max="6" width="17.0"/>
    <col customWidth="1" min="7" max="7" width="18.5"/>
    <col customWidth="1" min="8" max="8" width="16.33"/>
    <col customWidth="1" min="9" max="9" width="14.83"/>
    <col customWidth="1" min="10" max="10" width="23.33"/>
    <col customWidth="1" min="11" max="11" width="26.0"/>
    <col customWidth="1" min="12" max="12" width="21.17" outlineLevel="1"/>
    <col customWidth="1" min="13" max="13" width="24.5" outlineLevel="1"/>
    <col customWidth="1" min="14" max="14" width="21.17" outlineLevel="1"/>
    <col customWidth="1" min="15" max="15" width="24.5" outlineLevel="1"/>
    <col customWidth="1" min="16" max="16" width="14.67"/>
    <col customWidth="1" min="17" max="17" width="17.83"/>
    <col customWidth="1" min="18" max="18" width="16.33"/>
    <col customWidth="1" min="19" max="19" width="24.17"/>
    <col customWidth="1" min="20" max="20" width="27.67"/>
    <col customWidth="1" min="21" max="21" width="22.5"/>
    <col customWidth="1" min="22" max="22" width="26.0"/>
    <col customWidth="1" min="23" max="23" width="22.5"/>
    <col customWidth="1" min="24" max="24" width="26.0"/>
    <col customWidth="1" min="25" max="26" width="16.0"/>
    <col customWidth="1" min="27" max="27" width="18.33"/>
    <col customWidth="1" min="28" max="28" width="15.5"/>
    <col customWidth="1" min="29" max="29" width="16.33"/>
    <col customWidth="1" min="30" max="30" width="13.67"/>
  </cols>
  <sheetData>
    <row r="1">
      <c r="E1">
        <v>1.0</v>
      </c>
      <c r="G1">
        <v>2.0</v>
      </c>
      <c r="H1">
        <v>3.0</v>
      </c>
      <c r="I1">
        <v>4.0</v>
      </c>
      <c r="J1">
        <v>5.0</v>
      </c>
      <c r="K1">
        <v>6.0</v>
      </c>
      <c r="L1">
        <v>7.0</v>
      </c>
      <c r="M1">
        <v>8.0</v>
      </c>
      <c r="N1">
        <v>9.0</v>
      </c>
      <c r="O1">
        <v>10.0</v>
      </c>
      <c r="P1">
        <v>11.0</v>
      </c>
      <c r="Q1">
        <v>48.0</v>
      </c>
      <c r="R1">
        <v>49.0</v>
      </c>
      <c r="S1">
        <v>50.0</v>
      </c>
      <c r="T1">
        <v>51.0</v>
      </c>
      <c r="U1">
        <v>52.0</v>
      </c>
      <c r="V1">
        <v>53.0</v>
      </c>
      <c r="W1">
        <v>54.0</v>
      </c>
      <c r="X1">
        <v>55.0</v>
      </c>
      <c r="Y1">
        <v>56.0</v>
      </c>
      <c r="Z1">
        <v>57.0</v>
      </c>
      <c r="AA1">
        <v>58.0</v>
      </c>
      <c r="AB1">
        <v>59.0</v>
      </c>
      <c r="AC1">
        <v>60.0</v>
      </c>
      <c r="AD1">
        <v>61.0</v>
      </c>
    </row>
    <row r="2">
      <c r="E2" t="s">
        <v>0</v>
      </c>
    </row>
    <row r="3" ht="14.25" customHeight="1">
      <c r="B3" s="1" t="s">
        <v>1</v>
      </c>
      <c r="C3" s="1" t="s">
        <v>2</v>
      </c>
      <c r="D3" s="1" t="s">
        <v>3</v>
      </c>
      <c r="E3" s="2" t="s">
        <v>4</v>
      </c>
      <c r="F3" s="2"/>
      <c r="G3" s="2"/>
      <c r="H3" s="3" t="s">
        <v>5</v>
      </c>
      <c r="I3" s="4"/>
      <c r="J3" s="4"/>
      <c r="K3" s="4"/>
      <c r="L3" s="4"/>
      <c r="M3" s="4"/>
      <c r="N3" s="4"/>
      <c r="O3" s="4"/>
      <c r="P3" s="5"/>
      <c r="Q3" s="3" t="s">
        <v>6</v>
      </c>
      <c r="R3" s="4"/>
      <c r="S3" s="4"/>
      <c r="T3" s="4"/>
      <c r="U3" s="4"/>
      <c r="V3" s="4"/>
      <c r="W3" s="4"/>
      <c r="X3" s="4"/>
      <c r="Y3" s="5"/>
      <c r="Z3" s="6"/>
      <c r="AA3" s="6"/>
      <c r="AB3" s="6"/>
      <c r="AC3" s="6"/>
      <c r="AD3" s="7"/>
    </row>
    <row r="4">
      <c r="B4" s="8"/>
      <c r="C4" s="8"/>
      <c r="D4" s="8"/>
      <c r="E4" s="9" t="s">
        <v>7</v>
      </c>
      <c r="F4" s="9"/>
      <c r="G4" s="9"/>
      <c r="H4" s="10" t="s">
        <v>8</v>
      </c>
      <c r="I4" s="11"/>
      <c r="J4" s="10" t="s">
        <v>9</v>
      </c>
      <c r="K4" s="11"/>
      <c r="L4" s="10" t="s">
        <v>10</v>
      </c>
      <c r="M4" s="11"/>
      <c r="N4" s="10" t="s">
        <v>11</v>
      </c>
      <c r="O4" s="11"/>
      <c r="P4" s="12"/>
      <c r="Q4" s="10" t="s">
        <v>8</v>
      </c>
      <c r="R4" s="11"/>
      <c r="S4" s="10" t="s">
        <v>9</v>
      </c>
      <c r="T4" s="11"/>
      <c r="U4" s="10" t="s">
        <v>10</v>
      </c>
      <c r="V4" s="11"/>
      <c r="W4" s="10" t="s">
        <v>11</v>
      </c>
      <c r="X4" s="11"/>
      <c r="Y4" s="12"/>
      <c r="Z4" s="13"/>
      <c r="AA4" s="13"/>
      <c r="AB4" s="13"/>
      <c r="AC4" s="13"/>
      <c r="AD4" s="7"/>
    </row>
    <row r="5">
      <c r="B5" s="14"/>
      <c r="C5" s="14"/>
      <c r="D5" s="14"/>
      <c r="E5" s="15" t="s">
        <v>12</v>
      </c>
      <c r="F5" s="15" t="s">
        <v>13</v>
      </c>
      <c r="G5" s="15" t="s">
        <v>14</v>
      </c>
      <c r="H5" s="16" t="s">
        <v>15</v>
      </c>
      <c r="I5" s="16" t="s">
        <v>16</v>
      </c>
      <c r="J5" s="16" t="s">
        <v>17</v>
      </c>
      <c r="K5" s="16" t="s">
        <v>18</v>
      </c>
      <c r="L5" s="16" t="s">
        <v>19</v>
      </c>
      <c r="M5" s="16" t="s">
        <v>20</v>
      </c>
      <c r="N5" s="16" t="s">
        <v>21</v>
      </c>
      <c r="O5" s="16" t="s">
        <v>22</v>
      </c>
      <c r="P5" s="16" t="s">
        <v>23</v>
      </c>
      <c r="Q5" s="16" t="s">
        <v>24</v>
      </c>
      <c r="R5" s="16" t="s">
        <v>25</v>
      </c>
      <c r="S5" s="16" t="s">
        <v>26</v>
      </c>
      <c r="T5" s="16" t="s">
        <v>27</v>
      </c>
      <c r="U5" s="16" t="s">
        <v>28</v>
      </c>
      <c r="V5" s="16" t="s">
        <v>29</v>
      </c>
      <c r="W5" s="16" t="s">
        <v>30</v>
      </c>
      <c r="X5" s="16" t="s">
        <v>31</v>
      </c>
      <c r="Y5" s="16" t="s">
        <v>32</v>
      </c>
      <c r="Z5" s="17" t="s">
        <v>33</v>
      </c>
      <c r="AA5" s="17" t="s">
        <v>34</v>
      </c>
      <c r="AB5" s="17" t="s">
        <v>35</v>
      </c>
      <c r="AC5" s="17" t="s">
        <v>36</v>
      </c>
      <c r="AD5" s="7" t="s">
        <v>37</v>
      </c>
    </row>
    <row r="6" ht="14.25" customHeight="1">
      <c r="B6" s="18">
        <v>1.0</v>
      </c>
      <c r="C6" s="18" t="s">
        <v>38</v>
      </c>
      <c r="D6" s="19"/>
      <c r="E6" s="20" t="str">
        <f>Personal!G6</f>
        <v>Nancy Beatriz Pedroza</v>
      </c>
      <c r="F6" s="20" t="s">
        <v>13</v>
      </c>
      <c r="G6" s="20" t="str">
        <f>Personal!H6</f>
        <v>AGENTE</v>
      </c>
      <c r="H6" s="21">
        <v>0.7083333333333334</v>
      </c>
      <c r="I6" s="21">
        <v>1.0</v>
      </c>
      <c r="J6" s="21">
        <v>0.7916666666666666</v>
      </c>
      <c r="K6" s="21">
        <v>0.8125</v>
      </c>
      <c r="L6" s="21">
        <v>0.8125</v>
      </c>
      <c r="M6" s="21" t="str">
        <f>IF(G6="AGENTE",'Semana 1'!$L6+0.014,IF(G6="REDES",'Semana 1'!$L6+0.014,IF(G6="AGENTE RM",'Semana 1'!$L6+0.014,IF(G6="AGENTE APERTURA",'Semana 1'!$L6+0.014,IF(G6="AGENTE CIERRE",'Semana 1'!$L6+0.014," - ")))))</f>
        <v>19:50</v>
      </c>
      <c r="N6" s="21">
        <v>0.8263888888888888</v>
      </c>
      <c r="O6" s="21" t="str">
        <f>IF(G6="AGENTE",'Semana 1'!$N6+0.007,IF(G6="REDES",'Semana 1'!$N6+0.007,IF(G6="AGENTE RM",'Semana 1'!$N6+0.007,IF(G6="AGENTE APERTURA",'Semana 1'!$N6+0.007,IF(G6="AGENTE CIERRE",'Semana 1'!$N6+0.007," - ")))))</f>
        <v>20:00</v>
      </c>
      <c r="P6" s="22" t="str">
        <f t="shared" ref="P6:P81" si="2">(IFERROR(I6-H6,0)*24)-1</f>
        <v>6.0</v>
      </c>
      <c r="Q6" s="21">
        <v>0.7083333333333334</v>
      </c>
      <c r="R6" s="21">
        <v>1.0</v>
      </c>
      <c r="S6" s="21">
        <v>0.7916666666666666</v>
      </c>
      <c r="T6" s="21">
        <v>0.8125</v>
      </c>
      <c r="U6" s="21">
        <v>0.8125</v>
      </c>
      <c r="V6" s="21">
        <v>0.8265</v>
      </c>
      <c r="W6" s="21">
        <v>0.8263888888888888</v>
      </c>
      <c r="X6" s="21">
        <v>0.8333888888888888</v>
      </c>
      <c r="Y6" s="22" t="str">
        <f>(IFERROR(R6-Q6,0)*24)-1</f>
        <v>6.0</v>
      </c>
      <c r="Z6" s="22" t="str">
        <f t="shared" ref="Z6:AC6" si="1">$P6</f>
        <v>6.0</v>
      </c>
      <c r="AA6" s="22" t="str">
        <f t="shared" si="1"/>
        <v>6.0</v>
      </c>
      <c r="AB6" s="22" t="str">
        <f t="shared" si="1"/>
        <v>6.0</v>
      </c>
      <c r="AC6" s="22" t="str">
        <f t="shared" si="1"/>
        <v>6.0</v>
      </c>
      <c r="AD6" s="23" t="str">
        <f t="shared" ref="AD6:AD81" si="4">P6+Z6+AA6+AB6+AC6+Y6</f>
        <v>36</v>
      </c>
    </row>
    <row r="7">
      <c r="B7" s="18">
        <v>2.0</v>
      </c>
      <c r="C7" s="18" t="s">
        <v>38</v>
      </c>
      <c r="D7" s="19"/>
      <c r="E7" s="20" t="str">
        <f>Personal!G7</f>
        <v>Carina Alejandra Peliz Reban</v>
      </c>
      <c r="F7" s="20" t="s">
        <v>13</v>
      </c>
      <c r="G7" s="20" t="str">
        <f>Personal!H7</f>
        <v>REDES</v>
      </c>
      <c r="H7" s="24">
        <v>0.375</v>
      </c>
      <c r="I7" s="24" t="str">
        <f t="shared" ref="I7:I25" si="5">IF(H7=0," ",IF(Q7=0,(H7+0.417),(H7+0.3756)))</f>
        <v>18:00</v>
      </c>
      <c r="J7" s="24">
        <v>0.5</v>
      </c>
      <c r="K7" s="24" t="str">
        <f>IF(G7="AGENTE",'Semana 1'!$J7+0.042,IF(G7="REDES",'Semana 1'!$J7+0.042,IF(G7="AGENTE RM",'Semana 1'!$J7+0.042,IF(G7="AGENTE APERTURA",'Semana 1'!$J7+0.021,IF(G7="AGENTE CIERRE",'Semana 1'!$J7+0.021," - ")))))</f>
        <v>13:00</v>
      </c>
      <c r="L7" s="24">
        <v>0.4166666666666667</v>
      </c>
      <c r="M7" s="24" t="str">
        <f>IF(G7="AGENTE",'Semana 1'!$L7+0.014,IF(G7="REDES",'Semana 1'!$L7+0.014,IF(G7="AGENTE RM",'Semana 1'!$L7+0.014,IF(G7="AGENTE APERTURA",'Semana 1'!$L7+0.014,IF(G7="AGENTE CIERRE",'Semana 1'!$L7+0.014," - ")))))</f>
        <v>10:20</v>
      </c>
      <c r="N7" s="24">
        <v>0.6458333333333334</v>
      </c>
      <c r="O7" s="24" t="str">
        <f>IF(G7="AGENTE",'Semana 1'!$N7+0.007,IF(G7="REDES",'Semana 1'!$N7+0.007,IF(G7="AGENTE RM",'Semana 1'!$N7+0.007,IF(G7="AGENTE APERTURA",'Semana 1'!$N7+0.007,IF(G7="AGENTE CIERRE",'Semana 1'!$N7+0.007," - ")))))</f>
        <v>15:40</v>
      </c>
      <c r="P7" s="25" t="str">
        <f t="shared" si="2"/>
        <v>8.0</v>
      </c>
      <c r="Q7" s="24">
        <v>0.4166666666666667</v>
      </c>
      <c r="R7" s="24" t="str">
        <f>IF(Q7=0,"",Q7+0.209)</f>
        <v>15:00</v>
      </c>
      <c r="S7" s="26"/>
      <c r="T7" s="26"/>
      <c r="U7" s="24">
        <v>0.4375</v>
      </c>
      <c r="V7" s="24" t="str">
        <f t="shared" ref="V7:V10" si="6">IF(U7=0,"",U7+0.021)</f>
        <v>11:00</v>
      </c>
      <c r="W7" s="26"/>
      <c r="X7" s="26"/>
      <c r="Y7" s="25" t="str">
        <f t="shared" ref="Y7:Y25" si="7">(IFERROR(R7-Q7,0)*24)</f>
        <v>5.0</v>
      </c>
      <c r="Z7" s="25" t="str">
        <f t="shared" ref="Z7:AC7" si="3">$P7</f>
        <v>8.0</v>
      </c>
      <c r="AA7" s="25" t="str">
        <f t="shared" si="3"/>
        <v>8.0</v>
      </c>
      <c r="AB7" s="25" t="str">
        <f t="shared" si="3"/>
        <v>8.0</v>
      </c>
      <c r="AC7" s="25" t="str">
        <f t="shared" si="3"/>
        <v>8.0</v>
      </c>
      <c r="AD7" s="27" t="str">
        <f t="shared" si="4"/>
        <v>45</v>
      </c>
    </row>
    <row r="8" ht="14.25" customHeight="1">
      <c r="B8" s="18">
        <v>3.0</v>
      </c>
      <c r="C8" s="18" t="s">
        <v>39</v>
      </c>
      <c r="D8" s="19"/>
      <c r="E8" s="20" t="str">
        <f>Personal!G8</f>
        <v>-</v>
      </c>
      <c r="F8" s="20" t="s">
        <v>13</v>
      </c>
      <c r="G8" s="20" t="str">
        <f>Personal!H8</f>
        <v>-</v>
      </c>
      <c r="H8" s="21"/>
      <c r="I8" s="21" t="str">
        <f t="shared" si="5"/>
        <v> </v>
      </c>
      <c r="J8" s="21"/>
      <c r="K8" s="21" t="str">
        <f>IF(G8="AGENTE",'Semana 1'!$J8+0.042,IF(G8="REDES",'Semana 1'!$J8+0.042,IF(G8="AGENTE RM",'Semana 1'!$J8+0.042,IF(G8="AGENTE APERTURA",'Semana 1'!$J8+0.021,IF(G8="AGENTE CIERRE",'Semana 1'!$J8+0.021," - ")))))</f>
        <v> - </v>
      </c>
      <c r="L8" s="21"/>
      <c r="M8" s="21" t="str">
        <f>IF(G8="AGENTE",'Semana 1'!$L8+0.014,IF(G8="REDES",'Semana 1'!$L8+0.014,IF(G8="AGENTE RM",'Semana 1'!$L8+0.014,IF(G8="AGENTE APERTURA",'Semana 1'!$L8+0.014,IF(G8="AGENTE CIERRE",'Semana 1'!$L8+0.014," - ")))))</f>
        <v> - </v>
      </c>
      <c r="N8" s="21"/>
      <c r="O8" s="21" t="str">
        <f>IF(G8="AGENTE",'Semana 1'!$N8+0.007,IF(G8="REDES",'Semana 1'!$N8+0.007,IF(G8="AGENTE RM",'Semana 1'!$N8+0.007,IF(G8="AGENTE APERTURA",'Semana 1'!$N8+0.007,IF(G8="AGENTE CIERRE",'Semana 1'!$N8+0.007," - ")))))</f>
        <v> - </v>
      </c>
      <c r="P8" s="22" t="str">
        <f t="shared" si="2"/>
        <v>-1.0</v>
      </c>
      <c r="Q8" s="21"/>
      <c r="R8" s="21"/>
      <c r="S8" s="21"/>
      <c r="T8" s="21"/>
      <c r="U8" s="21"/>
      <c r="V8" s="21" t="str">
        <f t="shared" si="6"/>
        <v/>
      </c>
      <c r="W8" s="21"/>
      <c r="X8" s="21"/>
      <c r="Y8" s="22" t="str">
        <f t="shared" si="7"/>
        <v>0.0</v>
      </c>
      <c r="Z8" s="22" t="str">
        <f t="shared" ref="Z8:AC8" si="8">$P8</f>
        <v>-1.0</v>
      </c>
      <c r="AA8" s="22" t="str">
        <f t="shared" si="8"/>
        <v>-1.0</v>
      </c>
      <c r="AB8" s="22" t="str">
        <f t="shared" si="8"/>
        <v>-1.0</v>
      </c>
      <c r="AC8" s="22" t="str">
        <f t="shared" si="8"/>
        <v>-1.0</v>
      </c>
      <c r="AD8" s="23" t="str">
        <f t="shared" si="4"/>
        <v>-5</v>
      </c>
    </row>
    <row r="9" ht="14.25" customHeight="1">
      <c r="B9" s="18">
        <v>4.0</v>
      </c>
      <c r="C9" s="18" t="s">
        <v>38</v>
      </c>
      <c r="D9" s="19"/>
      <c r="E9" s="20" t="str">
        <f>Personal!G9</f>
        <v>Daisy Yomara Mateo</v>
      </c>
      <c r="F9" s="20" t="s">
        <v>13</v>
      </c>
      <c r="G9" s="20" t="str">
        <f>Personal!H9</f>
        <v>SOPORTE</v>
      </c>
      <c r="H9" s="24"/>
      <c r="I9" s="24" t="str">
        <f t="shared" si="5"/>
        <v> </v>
      </c>
      <c r="J9" s="24"/>
      <c r="K9" s="24" t="str">
        <f>IF(G9="AGENTE",'Semana 1'!$J9+0.042,IF(G9="REDES",'Semana 1'!$J9+0.042,IF(G9="AGENTE RM",'Semana 1'!$J9+0.042,IF(G9="AGENTE APERTURA",'Semana 1'!$J9+0.021,IF(G9="AGENTE CIERRE",'Semana 1'!$J9+0.021," - ")))))</f>
        <v> - </v>
      </c>
      <c r="L9" s="24"/>
      <c r="M9" s="24" t="str">
        <f>IF(G9="AGENTE",'Semana 1'!$L9+0.014,IF(G9="REDES",'Semana 1'!$L9+0.014,IF(G9="AGENTE RM",'Semana 1'!$L9+0.014,IF(G9="AGENTE APERTURA",'Semana 1'!$L9+0.014,IF(G9="AGENTE CIERRE",'Semana 1'!$L9+0.014," - ")))))</f>
        <v> - </v>
      </c>
      <c r="N9" s="24"/>
      <c r="O9" s="24" t="str">
        <f>IF(G9="AGENTE",'Semana 1'!$N9+0.007,IF(G9="REDES",'Semana 1'!$N9+0.007,IF(G9="AGENTE RM",'Semana 1'!$N9+0.007,IF(G9="AGENTE APERTURA",'Semana 1'!$N9+0.007,IF(G9="AGENTE CIERRE",'Semana 1'!$N9+0.007," - ")))))</f>
        <v> - </v>
      </c>
      <c r="P9" s="25" t="str">
        <f t="shared" si="2"/>
        <v>-1.0</v>
      </c>
      <c r="Q9" s="24"/>
      <c r="R9" s="24" t="str">
        <f t="shared" ref="R9:R25" si="10">IF(Q9=0,"",Q9+0.209)</f>
        <v/>
      </c>
      <c r="S9" s="26"/>
      <c r="T9" s="26"/>
      <c r="U9" s="24"/>
      <c r="V9" s="24" t="str">
        <f t="shared" si="6"/>
        <v/>
      </c>
      <c r="W9" s="26"/>
      <c r="X9" s="26"/>
      <c r="Y9" s="25" t="str">
        <f t="shared" si="7"/>
        <v>0.0</v>
      </c>
      <c r="Z9" s="25" t="str">
        <f t="shared" ref="Z9:AC9" si="9">$P9</f>
        <v>-1.0</v>
      </c>
      <c r="AA9" s="25" t="str">
        <f t="shared" si="9"/>
        <v>-1.0</v>
      </c>
      <c r="AB9" s="25" t="str">
        <f t="shared" si="9"/>
        <v>-1.0</v>
      </c>
      <c r="AC9" s="25" t="str">
        <f t="shared" si="9"/>
        <v>-1.0</v>
      </c>
      <c r="AD9" s="27" t="str">
        <f t="shared" si="4"/>
        <v>-5</v>
      </c>
    </row>
    <row r="10">
      <c r="B10" s="18">
        <v>5.0</v>
      </c>
      <c r="C10" s="18" t="s">
        <v>38</v>
      </c>
      <c r="D10" s="19"/>
      <c r="E10" s="20" t="str">
        <f>Personal!G10</f>
        <v>Carlo Giordiano Caballero Morales</v>
      </c>
      <c r="F10" s="20" t="s">
        <v>13</v>
      </c>
      <c r="G10" s="20" t="str">
        <f>Personal!H10</f>
        <v>REDES</v>
      </c>
      <c r="H10" s="21">
        <v>0.2916666666666667</v>
      </c>
      <c r="I10" s="21" t="str">
        <f t="shared" si="5"/>
        <v>16:00</v>
      </c>
      <c r="J10" s="21">
        <v>0.5416666666666666</v>
      </c>
      <c r="K10" s="21" t="str">
        <f>IF(G10="AGENTE",'Semana 1'!$J10+0.042,IF(G10="REDES",'Semana 1'!$J10+0.042,IF(G10="AGENTE RM",'Semana 1'!$J10+0.042,IF(G10="AGENTE APERTURA",'Semana 1'!$J10+0.021,IF(G10="AGENTE CIERRE",'Semana 1'!$J10+0.021," - ")))))</f>
        <v>14:00</v>
      </c>
      <c r="L10" s="21">
        <v>0.3611111111111111</v>
      </c>
      <c r="M10" s="21" t="str">
        <f>IF(G10="AGENTE",'Semana 1'!$L10+0.014,IF(G10="REDES",'Semana 1'!$L10+0.014,IF(G10="AGENTE RM",'Semana 1'!$L10+0.014,IF(G10="AGENTE APERTURA",'Semana 1'!$L10+0.014,IF(G10="AGENTE CIERRE",'Semana 1'!$L10+0.014," - ")))))</f>
        <v>9:00</v>
      </c>
      <c r="N10" s="21">
        <v>0.5972222222222222</v>
      </c>
      <c r="O10" s="21" t="str">
        <f>IF(G10="AGENTE",'Semana 1'!$N10+0.007,IF(G10="REDES",'Semana 1'!$N10+0.007,IF(G10="AGENTE RM",'Semana 1'!$N10+0.007,IF(G10="AGENTE APERTURA",'Semana 1'!$N10+0.007,IF(G10="AGENTE CIERRE",'Semana 1'!$N10+0.007," - ")))))</f>
        <v>14:30</v>
      </c>
      <c r="P10" s="22" t="str">
        <f t="shared" si="2"/>
        <v>8.0</v>
      </c>
      <c r="Q10" s="21">
        <v>0.3541666666666667</v>
      </c>
      <c r="R10" s="21" t="str">
        <f t="shared" si="10"/>
        <v>13:30</v>
      </c>
      <c r="S10" s="28"/>
      <c r="T10" s="28"/>
      <c r="U10" s="21">
        <v>0.375</v>
      </c>
      <c r="V10" s="21" t="str">
        <f t="shared" si="6"/>
        <v>9:30</v>
      </c>
      <c r="W10" s="28"/>
      <c r="X10" s="28"/>
      <c r="Y10" s="22" t="str">
        <f t="shared" si="7"/>
        <v>5.0</v>
      </c>
      <c r="Z10" s="22" t="str">
        <f t="shared" ref="Z10:AC10" si="11">$P10</f>
        <v>8.0</v>
      </c>
      <c r="AA10" s="22" t="str">
        <f t="shared" si="11"/>
        <v>8.0</v>
      </c>
      <c r="AB10" s="22" t="str">
        <f t="shared" si="11"/>
        <v>8.0</v>
      </c>
      <c r="AC10" s="22" t="str">
        <f t="shared" si="11"/>
        <v>8.0</v>
      </c>
      <c r="AD10" s="23" t="str">
        <f t="shared" si="4"/>
        <v>45</v>
      </c>
    </row>
    <row r="11" ht="14.25" customHeight="1">
      <c r="B11" s="18">
        <v>6.0</v>
      </c>
      <c r="C11" s="18" t="s">
        <v>38</v>
      </c>
      <c r="D11" s="19"/>
      <c r="E11" s="20" t="str">
        <f>Personal!G11</f>
        <v>Ani Rubi Lucero Gonzalez</v>
      </c>
      <c r="F11" s="20" t="s">
        <v>13</v>
      </c>
      <c r="G11" s="20" t="str">
        <f>Personal!H11</f>
        <v>SOPORTE</v>
      </c>
      <c r="H11" s="24"/>
      <c r="I11" s="24" t="str">
        <f t="shared" si="5"/>
        <v> </v>
      </c>
      <c r="J11" s="24"/>
      <c r="K11" s="24" t="str">
        <f>IF(G11="AGENTE",'Semana 1'!$J11+0.042,IF(G11="REDES",'Semana 1'!$J11+0.042,IF(G11="AGENTE RM",'Semana 1'!$J11+0.042,IF(G11="AGENTE APERTURA",'Semana 1'!$J11+0.021,IF(G11="AGENTE CIERRE",'Semana 1'!$J11+0.021," - ")))))</f>
        <v> - </v>
      </c>
      <c r="L11" s="24"/>
      <c r="M11" s="24" t="str">
        <f>IF(G11="AGENTE",'Semana 1'!$L11+0.014,IF(G11="REDES",'Semana 1'!$L11+0.014,IF(G11="AGENTE RM",'Semana 1'!$L11+0.014,IF(G11="AGENTE APERTURA",'Semana 1'!$L11+0.014,IF(G11="AGENTE CIERRE",'Semana 1'!$L11+0.014," - ")))))</f>
        <v> - </v>
      </c>
      <c r="N11" s="24"/>
      <c r="O11" s="24" t="str">
        <f>IF(G11="AGENTE",'Semana 1'!$N11+0.007,IF(G11="REDES",'Semana 1'!$N11+0.007,IF(G11="AGENTE RM",'Semana 1'!$N11+0.007,IF(G11="AGENTE APERTURA",'Semana 1'!$N11+0.007,IF(G11="AGENTE CIERRE",'Semana 1'!$N11+0.007," - ")))))</f>
        <v> - </v>
      </c>
      <c r="P11" s="25" t="str">
        <f t="shared" si="2"/>
        <v>-1.0</v>
      </c>
      <c r="Q11" s="24"/>
      <c r="R11" s="24" t="str">
        <f t="shared" si="10"/>
        <v/>
      </c>
      <c r="S11" s="26"/>
      <c r="T11" s="26"/>
      <c r="U11" s="24"/>
      <c r="V11" s="24" t="s">
        <v>40</v>
      </c>
      <c r="W11" s="26"/>
      <c r="X11" s="26"/>
      <c r="Y11" s="25" t="str">
        <f t="shared" si="7"/>
        <v>0.0</v>
      </c>
      <c r="Z11" s="25" t="str">
        <f t="shared" ref="Z11:AC11" si="12">$P11</f>
        <v>-1.0</v>
      </c>
      <c r="AA11" s="25" t="str">
        <f t="shared" si="12"/>
        <v>-1.0</v>
      </c>
      <c r="AB11" s="25" t="str">
        <f t="shared" si="12"/>
        <v>-1.0</v>
      </c>
      <c r="AC11" s="25" t="str">
        <f t="shared" si="12"/>
        <v>-1.0</v>
      </c>
      <c r="AD11" s="27" t="str">
        <f t="shared" si="4"/>
        <v>-5</v>
      </c>
    </row>
    <row r="12">
      <c r="B12" s="18">
        <v>7.0</v>
      </c>
      <c r="C12" s="18" t="s">
        <v>38</v>
      </c>
      <c r="D12" s="19"/>
      <c r="E12" s="20" t="str">
        <f>Personal!G12</f>
        <v>Hilda Sofia Gonzalez De León</v>
      </c>
      <c r="F12" s="20" t="s">
        <v>13</v>
      </c>
      <c r="G12" s="20" t="str">
        <f>Personal!H12</f>
        <v>REDES</v>
      </c>
      <c r="H12" s="21">
        <v>0.375</v>
      </c>
      <c r="I12" s="21" t="str">
        <f t="shared" si="5"/>
        <v>18:00</v>
      </c>
      <c r="J12" s="21">
        <v>0.5</v>
      </c>
      <c r="K12" s="21" t="str">
        <f>IF(G12="AGENTE",'Semana 1'!$J12+0.042,IF(G12="REDES",'Semana 1'!$J12+0.042,IF(G12="AGENTE RM",'Semana 1'!$J12+0.042,IF(G12="AGENTE APERTURA",'Semana 1'!$J12+0.021,IF(G12="AGENTE CIERRE",'Semana 1'!$J12+0.021," - ")))))</f>
        <v>13:00</v>
      </c>
      <c r="L12" s="21">
        <v>0.4305555555555556</v>
      </c>
      <c r="M12" s="21" t="str">
        <f>IF(G12="AGENTE",'Semana 1'!$L12+0.014,IF(G12="REDES",'Semana 1'!$L12+0.014,IF(G12="AGENTE RM",'Semana 1'!$L12+0.014,IF(G12="AGENTE APERTURA",'Semana 1'!$L12+0.014,IF(G12="AGENTE CIERRE",'Semana 1'!$L12+0.014," - ")))))</f>
        <v>10:40</v>
      </c>
      <c r="N12" s="21">
        <v>0.6527777777777778</v>
      </c>
      <c r="O12" s="21" t="str">
        <f>IF(G12="AGENTE",'Semana 1'!$N12+0.007,IF(G12="REDES",'Semana 1'!$N12+0.007,IF(G12="AGENTE RM",'Semana 1'!$N12+0.007,IF(G12="AGENTE APERTURA",'Semana 1'!$N12+0.007,IF(G12="AGENTE CIERRE",'Semana 1'!$N12+0.007," - ")))))</f>
        <v>15:50</v>
      </c>
      <c r="P12" s="22" t="str">
        <f t="shared" si="2"/>
        <v>8.0</v>
      </c>
      <c r="Q12" s="21">
        <v>0.375</v>
      </c>
      <c r="R12" s="21" t="str">
        <f t="shared" si="10"/>
        <v>14:00</v>
      </c>
      <c r="S12" s="28"/>
      <c r="T12" s="28"/>
      <c r="U12" s="21">
        <v>0.3958333333333333</v>
      </c>
      <c r="V12" s="21" t="str">
        <f t="shared" ref="V12:V13" si="14">IF(U12=0,"",U12+0.021)</f>
        <v>10:00</v>
      </c>
      <c r="W12" s="28"/>
      <c r="X12" s="28"/>
      <c r="Y12" s="22" t="str">
        <f t="shared" si="7"/>
        <v>5.0</v>
      </c>
      <c r="Z12" s="22" t="str">
        <f t="shared" ref="Z12:AC12" si="13">$P12</f>
        <v>8.0</v>
      </c>
      <c r="AA12" s="22" t="str">
        <f t="shared" si="13"/>
        <v>8.0</v>
      </c>
      <c r="AB12" s="22" t="str">
        <f t="shared" si="13"/>
        <v>8.0</v>
      </c>
      <c r="AC12" s="22" t="str">
        <f t="shared" si="13"/>
        <v>8.0</v>
      </c>
      <c r="AD12" s="23" t="str">
        <f t="shared" si="4"/>
        <v>45</v>
      </c>
    </row>
    <row r="13" ht="14.25" customHeight="1">
      <c r="B13" s="18">
        <v>8.0</v>
      </c>
      <c r="C13" s="18" t="s">
        <v>39</v>
      </c>
      <c r="D13" s="19"/>
      <c r="E13" s="20" t="str">
        <f>Personal!G13</f>
        <v>-</v>
      </c>
      <c r="F13" s="20" t="s">
        <v>13</v>
      </c>
      <c r="G13" s="20" t="str">
        <f>Personal!H13</f>
        <v>-</v>
      </c>
      <c r="H13" s="24"/>
      <c r="I13" s="24" t="str">
        <f t="shared" si="5"/>
        <v> </v>
      </c>
      <c r="J13" s="24"/>
      <c r="K13" s="24" t="str">
        <f>IF(G13="AGENTE",'Semana 1'!$J13+0.042,IF(G13="REDES",'Semana 1'!$J13+0.042,IF(G13="AGENTE RM",'Semana 1'!$J13+0.042,IF(G13="AGENTE APERTURA",'Semana 1'!$J13+0.021,IF(G13="AGENTE CIERRE",'Semana 1'!$J13+0.021," - ")))))</f>
        <v> - </v>
      </c>
      <c r="L13" s="24"/>
      <c r="M13" s="24" t="str">
        <f>IF(G13="AGENTE",'Semana 1'!$L13+0.014,IF(G13="REDES",'Semana 1'!$L13+0.014,IF(G13="AGENTE RM",'Semana 1'!$L13+0.014,IF(G13="AGENTE APERTURA",'Semana 1'!$L13+0.014,IF(G13="AGENTE CIERRE",'Semana 1'!$L13+0.014," - ")))))</f>
        <v> - </v>
      </c>
      <c r="N13" s="24"/>
      <c r="O13" s="24" t="str">
        <f>IF(G13="AGENTE",'Semana 1'!$N13+0.007,IF(G13="REDES",'Semana 1'!$N13+0.007,IF(G13="AGENTE RM",'Semana 1'!$N13+0.007,IF(G13="AGENTE APERTURA",'Semana 1'!$N13+0.007,IF(G13="AGENTE CIERRE",'Semana 1'!$N13+0.007," - ")))))</f>
        <v> - </v>
      </c>
      <c r="P13" s="25" t="str">
        <f t="shared" si="2"/>
        <v>-1.0</v>
      </c>
      <c r="Q13" s="24"/>
      <c r="R13" s="24" t="str">
        <f t="shared" si="10"/>
        <v/>
      </c>
      <c r="S13" s="26"/>
      <c r="T13" s="26"/>
      <c r="U13" s="24"/>
      <c r="V13" s="24" t="str">
        <f t="shared" si="14"/>
        <v/>
      </c>
      <c r="W13" s="26"/>
      <c r="X13" s="26"/>
      <c r="Y13" s="25" t="str">
        <f t="shared" si="7"/>
        <v>0.0</v>
      </c>
      <c r="Z13" s="25" t="str">
        <f t="shared" ref="Z13:AC13" si="15">$P13</f>
        <v>-1.0</v>
      </c>
      <c r="AA13" s="25" t="str">
        <f t="shared" si="15"/>
        <v>-1.0</v>
      </c>
      <c r="AB13" s="25" t="str">
        <f t="shared" si="15"/>
        <v>-1.0</v>
      </c>
      <c r="AC13" s="25" t="str">
        <f t="shared" si="15"/>
        <v>-1.0</v>
      </c>
      <c r="AD13" s="27" t="str">
        <f t="shared" si="4"/>
        <v>-5</v>
      </c>
    </row>
    <row r="14" ht="14.25" customHeight="1">
      <c r="B14" s="18">
        <v>9.0</v>
      </c>
      <c r="C14" s="18" t="s">
        <v>38</v>
      </c>
      <c r="D14" s="19"/>
      <c r="E14" s="20" t="str">
        <f>Personal!G14</f>
        <v>Jorge Israel Reyes Valencia</v>
      </c>
      <c r="F14" s="20" t="s">
        <v>13</v>
      </c>
      <c r="G14" s="20" t="str">
        <f>Personal!H14</f>
        <v>SOPORTE</v>
      </c>
      <c r="H14" s="21"/>
      <c r="I14" s="21" t="str">
        <f t="shared" si="5"/>
        <v> </v>
      </c>
      <c r="J14" s="21"/>
      <c r="K14" s="21" t="str">
        <f>IF(G14="AGENTE",'Semana 1'!$J14+0.042,IF(G14="REDES",'Semana 1'!$J14+0.042,IF(G14="AGENTE RM",'Semana 1'!$J14+0.042,IF(G14="AGENTE APERTURA",'Semana 1'!$J14+0.021,IF(G14="AGENTE CIERRE",'Semana 1'!$J14+0.021," - ")))))</f>
        <v> - </v>
      </c>
      <c r="L14" s="21"/>
      <c r="M14" s="21" t="str">
        <f>IF(G14="AGENTE",'Semana 1'!$L14+0.014,IF(G14="REDES",'Semana 1'!$L14+0.014,IF(G14="AGENTE RM",'Semana 1'!$L14+0.014,IF(G14="AGENTE APERTURA",'Semana 1'!$L14+0.014,IF(G14="AGENTE CIERRE",'Semana 1'!$L14+0.014," - ")))))</f>
        <v> - </v>
      </c>
      <c r="N14" s="21"/>
      <c r="O14" s="21" t="str">
        <f>IF(G14="AGENTE",'Semana 1'!$N14+0.007,IF(G14="REDES",'Semana 1'!$N14+0.007,IF(G14="AGENTE RM",'Semana 1'!$N14+0.007,IF(G14="AGENTE APERTURA",'Semana 1'!$N14+0.007,IF(G14="AGENTE CIERRE",'Semana 1'!$N14+0.007," - ")))))</f>
        <v> - </v>
      </c>
      <c r="P14" s="22" t="str">
        <f t="shared" si="2"/>
        <v>-1.0</v>
      </c>
      <c r="Q14" s="21"/>
      <c r="R14" s="21" t="str">
        <f t="shared" si="10"/>
        <v/>
      </c>
      <c r="S14" s="21"/>
      <c r="T14" s="21" t="str">
        <f>IF(S14=0,"",S14+0.021)</f>
        <v/>
      </c>
      <c r="U14" s="21"/>
      <c r="V14" s="21" t="str">
        <f>IF(U14=0,"",U14+0.01)</f>
        <v/>
      </c>
      <c r="W14" s="21"/>
      <c r="X14" s="21" t="str">
        <f>IF(W14=0,"",W14+0.01)</f>
        <v/>
      </c>
      <c r="Y14" s="22" t="str">
        <f t="shared" si="7"/>
        <v>0.0</v>
      </c>
      <c r="Z14" s="22" t="str">
        <f t="shared" ref="Z14:AC14" si="16">$P14</f>
        <v>-1.0</v>
      </c>
      <c r="AA14" s="22" t="str">
        <f t="shared" si="16"/>
        <v>-1.0</v>
      </c>
      <c r="AB14" s="22" t="str">
        <f t="shared" si="16"/>
        <v>-1.0</v>
      </c>
      <c r="AC14" s="22" t="str">
        <f t="shared" si="16"/>
        <v>-1.0</v>
      </c>
      <c r="AD14" s="23" t="str">
        <f t="shared" si="4"/>
        <v>-5</v>
      </c>
    </row>
    <row r="15" ht="14.25" customHeight="1">
      <c r="B15" s="18">
        <v>10.0</v>
      </c>
      <c r="C15" s="18" t="s">
        <v>38</v>
      </c>
      <c r="D15" s="19"/>
      <c r="E15" s="20" t="str">
        <f>Personal!G15</f>
        <v>Marcos Geovanny Coronado Giron</v>
      </c>
      <c r="F15" s="20" t="s">
        <v>13</v>
      </c>
      <c r="G15" s="20" t="str">
        <f>Personal!H15</f>
        <v>SOPORTE</v>
      </c>
      <c r="H15" s="24"/>
      <c r="I15" s="24" t="str">
        <f t="shared" si="5"/>
        <v> </v>
      </c>
      <c r="J15" s="24"/>
      <c r="K15" s="24" t="str">
        <f>IF(G15="AGENTE",'Semana 1'!$J15+0.042,IF(G15="REDES",'Semana 1'!$J15+0.042,IF(G15="AGENTE RM",'Semana 1'!$J15+0.042,IF(G15="AGENTE APERTURA",'Semana 1'!$J15+0.021,IF(G15="AGENTE CIERRE",'Semana 1'!$J15+0.021," - ")))))</f>
        <v> - </v>
      </c>
      <c r="L15" s="24"/>
      <c r="M15" s="24" t="str">
        <f>IF(G15="AGENTE",'Semana 1'!$L15+0.014,IF(G15="REDES",'Semana 1'!$L15+0.014,IF(G15="AGENTE RM",'Semana 1'!$L15+0.014,IF(G15="AGENTE APERTURA",'Semana 1'!$L15+0.014,IF(G15="AGENTE CIERRE",'Semana 1'!$L15+0.014," - ")))))</f>
        <v> - </v>
      </c>
      <c r="N15" s="24"/>
      <c r="O15" s="24" t="str">
        <f>IF(G15="AGENTE",'Semana 1'!$N15+0.007,IF(G15="REDES",'Semana 1'!$N15+0.007,IF(G15="AGENTE RM",'Semana 1'!$N15+0.007,IF(G15="AGENTE APERTURA",'Semana 1'!$N15+0.007,IF(G15="AGENTE CIERRE",'Semana 1'!$N15+0.007," - ")))))</f>
        <v> - </v>
      </c>
      <c r="P15" s="25" t="str">
        <f t="shared" si="2"/>
        <v>-1.0</v>
      </c>
      <c r="Q15" s="24"/>
      <c r="R15" s="24" t="str">
        <f t="shared" si="10"/>
        <v/>
      </c>
      <c r="S15" s="26"/>
      <c r="T15" s="26"/>
      <c r="U15" s="24"/>
      <c r="V15" s="24"/>
      <c r="W15" s="26"/>
      <c r="X15" s="26"/>
      <c r="Y15" s="25" t="str">
        <f t="shared" si="7"/>
        <v>0.0</v>
      </c>
      <c r="Z15" s="25" t="str">
        <f t="shared" ref="Z15:AC15" si="17">$P15</f>
        <v>-1.0</v>
      </c>
      <c r="AA15" s="25" t="str">
        <f t="shared" si="17"/>
        <v>-1.0</v>
      </c>
      <c r="AB15" s="25" t="str">
        <f t="shared" si="17"/>
        <v>-1.0</v>
      </c>
      <c r="AC15" s="25" t="str">
        <f t="shared" si="17"/>
        <v>-1.0</v>
      </c>
      <c r="AD15" s="27" t="str">
        <f t="shared" si="4"/>
        <v>-5</v>
      </c>
    </row>
    <row r="16" ht="14.25" customHeight="1">
      <c r="B16" s="18">
        <v>11.0</v>
      </c>
      <c r="C16" s="18" t="s">
        <v>38</v>
      </c>
      <c r="D16" s="19"/>
      <c r="E16" s="20" t="str">
        <f>Personal!G16</f>
        <v>Anyely Eunice Florian Florian</v>
      </c>
      <c r="F16" s="20" t="s">
        <v>13</v>
      </c>
      <c r="G16" s="20" t="str">
        <f>Personal!H16</f>
        <v>SOPORTE</v>
      </c>
      <c r="H16" s="21"/>
      <c r="I16" s="21" t="str">
        <f t="shared" si="5"/>
        <v> </v>
      </c>
      <c r="J16" s="21"/>
      <c r="K16" s="21" t="str">
        <f>IF(G16="AGENTE",'Semana 1'!$J16+0.042,IF(G16="REDES",'Semana 1'!$J16+0.042,IF(G16="AGENTE RM",'Semana 1'!$J16+0.042,IF(G16="AGENTE APERTURA",'Semana 1'!$J16+0.021,IF(G16="AGENTE CIERRE",'Semana 1'!$J16+0.021," - ")))))</f>
        <v> - </v>
      </c>
      <c r="L16" s="21"/>
      <c r="M16" s="21" t="str">
        <f>IF(G16="AGENTE",'Semana 1'!$L16+0.014,IF(G16="REDES",'Semana 1'!$L16+0.014,IF(G16="AGENTE RM",'Semana 1'!$L16+0.014,IF(G16="AGENTE APERTURA",'Semana 1'!$L16+0.014,IF(G16="AGENTE CIERRE",'Semana 1'!$L16+0.014," - ")))))</f>
        <v> - </v>
      </c>
      <c r="N16" s="21"/>
      <c r="O16" s="21" t="str">
        <f>IF(G16="AGENTE",'Semana 1'!$N16+0.007,IF(G16="REDES",'Semana 1'!$N16+0.007,IF(G16="AGENTE RM",'Semana 1'!$N16+0.007,IF(G16="AGENTE APERTURA",'Semana 1'!$N16+0.007,IF(G16="AGENTE CIERRE",'Semana 1'!$N16+0.007," - ")))))</f>
        <v> - </v>
      </c>
      <c r="P16" s="22" t="str">
        <f t="shared" si="2"/>
        <v>-1.0</v>
      </c>
      <c r="Q16" s="21"/>
      <c r="R16" s="21" t="str">
        <f t="shared" si="10"/>
        <v/>
      </c>
      <c r="S16" s="28"/>
      <c r="T16" s="28"/>
      <c r="U16" s="21"/>
      <c r="V16" s="21" t="str">
        <f t="shared" ref="V16:V18" si="19">IF(U16=0,"",U16+0.021)</f>
        <v/>
      </c>
      <c r="W16" s="28"/>
      <c r="X16" s="28" t="str">
        <f>IF(W16=0,"",W16+0.021)</f>
        <v/>
      </c>
      <c r="Y16" s="22" t="str">
        <f t="shared" si="7"/>
        <v>0.0</v>
      </c>
      <c r="Z16" s="22" t="str">
        <f t="shared" ref="Z16:AC16" si="18">$P16</f>
        <v>-1.0</v>
      </c>
      <c r="AA16" s="22" t="str">
        <f t="shared" si="18"/>
        <v>-1.0</v>
      </c>
      <c r="AB16" s="22" t="str">
        <f t="shared" si="18"/>
        <v>-1.0</v>
      </c>
      <c r="AC16" s="22" t="str">
        <f t="shared" si="18"/>
        <v>-1.0</v>
      </c>
      <c r="AD16" s="23" t="str">
        <f t="shared" si="4"/>
        <v>-5</v>
      </c>
    </row>
    <row r="17">
      <c r="B17" s="18">
        <v>12.0</v>
      </c>
      <c r="C17" s="18" t="s">
        <v>38</v>
      </c>
      <c r="D17" s="19"/>
      <c r="E17" s="20" t="str">
        <f>Personal!G17</f>
        <v>Jennifer Alicia Boror Rodriguez</v>
      </c>
      <c r="F17" s="20" t="s">
        <v>13</v>
      </c>
      <c r="G17" s="20" t="str">
        <f>Personal!H17</f>
        <v>REDES</v>
      </c>
      <c r="H17" s="24">
        <v>0.2708333333333333</v>
      </c>
      <c r="I17" s="24" t="str">
        <f t="shared" si="5"/>
        <v>15:30</v>
      </c>
      <c r="J17" s="24">
        <v>0.5416666666666666</v>
      </c>
      <c r="K17" s="24" t="str">
        <f>IF(G17="AGENTE",'Semana 1'!$J17+0.042,IF(G17="REDES",'Semana 1'!$J17+0.042,IF(G17="AGENTE RM",'Semana 1'!$J17+0.042,IF(G17="AGENTE APERTURA",'Semana 1'!$J17+0.021,IF(G17="AGENTE CIERRE",'Semana 1'!$J17+0.021," - ")))))</f>
        <v>14:00</v>
      </c>
      <c r="L17" s="24">
        <v>0.34722222222222227</v>
      </c>
      <c r="M17" s="24" t="str">
        <f>IF(G17="AGENTE",'Semana 1'!$L17+0.014,IF(G17="REDES",'Semana 1'!$L17+0.014,IF(G17="AGENTE RM",'Semana 1'!$L17+0.014,IF(G17="AGENTE APERTURA",'Semana 1'!$L17+0.014,IF(G17="AGENTE CIERRE",'Semana 1'!$L17+0.014," - ")))))</f>
        <v>8:40</v>
      </c>
      <c r="N17" s="24">
        <v>0.5902777777777778</v>
      </c>
      <c r="O17" s="24" t="str">
        <f>IF(G17="AGENTE",'Semana 1'!$N17+0.007,IF(G17="REDES",'Semana 1'!$N17+0.007,IF(G17="AGENTE RM",'Semana 1'!$N17+0.007,IF(G17="AGENTE APERTURA",'Semana 1'!$N17+0.007,IF(G17="AGENTE CIERRE",'Semana 1'!$N17+0.007," - ")))))</f>
        <v>14:20</v>
      </c>
      <c r="P17" s="25" t="str">
        <f t="shared" si="2"/>
        <v>8.0</v>
      </c>
      <c r="Q17" s="24">
        <v>0.2708333333333333</v>
      </c>
      <c r="R17" s="24" t="str">
        <f t="shared" si="10"/>
        <v>11:30</v>
      </c>
      <c r="S17" s="26"/>
      <c r="T17" s="26"/>
      <c r="U17" s="24">
        <v>0.3125</v>
      </c>
      <c r="V17" s="24" t="str">
        <f t="shared" si="19"/>
        <v>8:00</v>
      </c>
      <c r="W17" s="26"/>
      <c r="X17" s="26"/>
      <c r="Y17" s="25" t="str">
        <f t="shared" si="7"/>
        <v>5.0</v>
      </c>
      <c r="Z17" s="25" t="str">
        <f t="shared" ref="Z17:AC17" si="20">$P17</f>
        <v>8.0</v>
      </c>
      <c r="AA17" s="25" t="str">
        <f t="shared" si="20"/>
        <v>8.0</v>
      </c>
      <c r="AB17" s="25" t="str">
        <f t="shared" si="20"/>
        <v>8.0</v>
      </c>
      <c r="AC17" s="25" t="str">
        <f t="shared" si="20"/>
        <v>8.0</v>
      </c>
      <c r="AD17" s="27" t="str">
        <f t="shared" si="4"/>
        <v>45</v>
      </c>
    </row>
    <row r="18" ht="14.25" customHeight="1">
      <c r="B18" s="18">
        <v>13.0</v>
      </c>
      <c r="C18" s="18" t="s">
        <v>39</v>
      </c>
      <c r="D18" s="19"/>
      <c r="E18" s="20" t="str">
        <f>Personal!G18</f>
        <v>-</v>
      </c>
      <c r="F18" s="20" t="s">
        <v>13</v>
      </c>
      <c r="G18" s="20" t="str">
        <f>Personal!H18</f>
        <v>-</v>
      </c>
      <c r="H18" s="21"/>
      <c r="I18" s="21" t="str">
        <f t="shared" si="5"/>
        <v> </v>
      </c>
      <c r="J18" s="21"/>
      <c r="K18" s="21" t="str">
        <f>IF(G18="AGENTE",'Semana 1'!$J18+0.042,IF(G18="REDES",'Semana 1'!$J18+0.042,IF(G18="AGENTE RM",'Semana 1'!$J18+0.042,IF(G18="AGENTE APERTURA",'Semana 1'!$J18+0.021,IF(G18="AGENTE CIERRE",'Semana 1'!$J18+0.021," - ")))))</f>
        <v> - </v>
      </c>
      <c r="L18" s="21"/>
      <c r="M18" s="21" t="str">
        <f>IF(G18="AGENTE",'Semana 1'!$L18+0.014,IF(G18="REDES",'Semana 1'!$L18+0.014,IF(G18="AGENTE RM",'Semana 1'!$L18+0.014,IF(G18="AGENTE APERTURA",'Semana 1'!$L18+0.014,IF(G18="AGENTE CIERRE",'Semana 1'!$L18+0.014," - ")))))</f>
        <v> - </v>
      </c>
      <c r="N18" s="21"/>
      <c r="O18" s="21" t="str">
        <f>IF(G18="AGENTE",'Semana 1'!$N18+0.007,IF(G18="REDES",'Semana 1'!$N18+0.007,IF(G18="AGENTE RM",'Semana 1'!$N18+0.007,IF(G18="AGENTE APERTURA",'Semana 1'!$N18+0.007,IF(G18="AGENTE CIERRE",'Semana 1'!$N18+0.007," - ")))))</f>
        <v> - </v>
      </c>
      <c r="P18" s="22" t="str">
        <f t="shared" si="2"/>
        <v>-1.0</v>
      </c>
      <c r="Q18" s="21"/>
      <c r="R18" s="21" t="str">
        <f t="shared" si="10"/>
        <v/>
      </c>
      <c r="S18" s="21"/>
      <c r="T18" s="21"/>
      <c r="U18" s="21"/>
      <c r="V18" s="21" t="str">
        <f t="shared" si="19"/>
        <v/>
      </c>
      <c r="W18" s="21"/>
      <c r="X18" s="21"/>
      <c r="Y18" s="22" t="str">
        <f t="shared" si="7"/>
        <v>0.0</v>
      </c>
      <c r="Z18" s="22" t="str">
        <f t="shared" ref="Z18:AC18" si="21">$P18</f>
        <v>-1.0</v>
      </c>
      <c r="AA18" s="22" t="str">
        <f t="shared" si="21"/>
        <v>-1.0</v>
      </c>
      <c r="AB18" s="22" t="str">
        <f t="shared" si="21"/>
        <v>-1.0</v>
      </c>
      <c r="AC18" s="22" t="str">
        <f t="shared" si="21"/>
        <v>-1.0</v>
      </c>
      <c r="AD18" s="23" t="str">
        <f t="shared" si="4"/>
        <v>-5</v>
      </c>
    </row>
    <row r="19" ht="14.25" customHeight="1">
      <c r="B19" s="18">
        <v>14.0</v>
      </c>
      <c r="C19" s="18" t="s">
        <v>38</v>
      </c>
      <c r="D19" s="19"/>
      <c r="E19" s="20" t="str">
        <f>Personal!G19</f>
        <v>Juan José Puluc Chaicoj</v>
      </c>
      <c r="F19" s="20" t="s">
        <v>13</v>
      </c>
      <c r="G19" s="20" t="str">
        <f>Personal!H19</f>
        <v>SOPORTE</v>
      </c>
      <c r="H19" s="24"/>
      <c r="I19" s="24" t="str">
        <f t="shared" si="5"/>
        <v> </v>
      </c>
      <c r="J19" s="24"/>
      <c r="K19" s="24" t="str">
        <f>IF(G19="AGENTE",'Semana 1'!$J19+0.042,IF(G19="REDES",'Semana 1'!$J19+0.042,IF(G19="AGENTE RM",'Semana 1'!$J19+0.042,IF(G19="AGENTE APERTURA",'Semana 1'!$J19+0.021,IF(G19="AGENTE CIERRE",'Semana 1'!$J19+0.021," - ")))))</f>
        <v> - </v>
      </c>
      <c r="L19" s="24"/>
      <c r="M19" s="24" t="str">
        <f>IF(G19="AGENTE",'Semana 1'!$L19+0.014,IF(G19="REDES",'Semana 1'!$L19+0.014,IF(G19="AGENTE RM",'Semana 1'!$L19+0.014,IF(G19="AGENTE APERTURA",'Semana 1'!$L19+0.014,IF(G19="AGENTE CIERRE",'Semana 1'!$L19+0.014," - ")))))</f>
        <v> - </v>
      </c>
      <c r="N19" s="24"/>
      <c r="O19" s="24" t="str">
        <f>IF(G19="AGENTE",'Semana 1'!$N19+0.007,IF(G19="REDES",'Semana 1'!$N19+0.007,IF(G19="AGENTE RM",'Semana 1'!$N19+0.007,IF(G19="AGENTE APERTURA",'Semana 1'!$N19+0.007,IF(G19="AGENTE CIERRE",'Semana 1'!$N19+0.007," - ")))))</f>
        <v> - </v>
      </c>
      <c r="P19" s="25" t="str">
        <f t="shared" si="2"/>
        <v>-1.0</v>
      </c>
      <c r="Q19" s="24"/>
      <c r="R19" s="24" t="str">
        <f t="shared" si="10"/>
        <v/>
      </c>
      <c r="S19" s="26"/>
      <c r="T19" s="26"/>
      <c r="U19" s="24"/>
      <c r="V19" s="24"/>
      <c r="W19" s="26"/>
      <c r="X19" s="26"/>
      <c r="Y19" s="25" t="str">
        <f t="shared" si="7"/>
        <v>0.0</v>
      </c>
      <c r="Z19" s="25" t="str">
        <f t="shared" ref="Z19:AC19" si="22">$P19</f>
        <v>-1.0</v>
      </c>
      <c r="AA19" s="25" t="str">
        <f t="shared" si="22"/>
        <v>-1.0</v>
      </c>
      <c r="AB19" s="25" t="str">
        <f t="shared" si="22"/>
        <v>-1.0</v>
      </c>
      <c r="AC19" s="25" t="str">
        <f t="shared" si="22"/>
        <v>-1.0</v>
      </c>
      <c r="AD19" s="27" t="str">
        <f t="shared" si="4"/>
        <v>-5</v>
      </c>
    </row>
    <row r="20" ht="14.25" customHeight="1">
      <c r="B20" s="18">
        <v>15.0</v>
      </c>
      <c r="C20" s="18" t="s">
        <v>38</v>
      </c>
      <c r="D20" s="19"/>
      <c r="E20" s="20" t="str">
        <f>Personal!G20</f>
        <v>Lydicen Anabelly Navarijo Padilla</v>
      </c>
      <c r="F20" s="20" t="s">
        <v>13</v>
      </c>
      <c r="G20" s="20" t="str">
        <f>Personal!H20</f>
        <v>AGENTE RM</v>
      </c>
      <c r="H20" s="21">
        <v>0.375</v>
      </c>
      <c r="I20" s="21" t="str">
        <f t="shared" si="5"/>
        <v>18:00</v>
      </c>
      <c r="J20" s="21">
        <v>0.5833333333333334</v>
      </c>
      <c r="K20" s="21" t="str">
        <f>IF(G20="AGENTE",'Semana 1'!$J20+0.042,IF(G20="REDES",'Semana 1'!$J20+0.042,IF(G20="AGENTE RM",'Semana 1'!$J20+0.042,IF(G20="AGENTE APERTURA",'Semana 1'!$J20+0.021,IF(G20="AGENTE CIERRE",'Semana 1'!$J20+0.021," - ")))))</f>
        <v>15:00</v>
      </c>
      <c r="L20" s="21">
        <v>0.3958333333333333</v>
      </c>
      <c r="M20" s="21" t="str">
        <f>IF(G20="AGENTE",'Semana 1'!$L20+0.014,IF(G20="REDES",'Semana 1'!$L20+0.014,IF(G20="AGENTE RM",'Semana 1'!$L20+0.014,IF(G20="AGENTE APERTURA",'Semana 1'!$L20+0.014,IF(G20="AGENTE CIERRE",'Semana 1'!$L20+0.014," - ")))))</f>
        <v>9:50</v>
      </c>
      <c r="N20" s="21">
        <v>0.6666666666666666</v>
      </c>
      <c r="O20" s="21" t="str">
        <f>IF(G20="AGENTE",'Semana 1'!$N20+0.007,IF(G20="REDES",'Semana 1'!$N20+0.007,IF(G20="AGENTE RM",'Semana 1'!$N20+0.007,IF(G20="AGENTE APERTURA",'Semana 1'!$N20+0.007,IF(G20="AGENTE CIERRE",'Semana 1'!$N20+0.007," - ")))))</f>
        <v>16:10</v>
      </c>
      <c r="P20" s="22" t="str">
        <f t="shared" si="2"/>
        <v>8.0</v>
      </c>
      <c r="Q20" s="21">
        <v>0.4166666666666667</v>
      </c>
      <c r="R20" s="21" t="str">
        <f t="shared" si="10"/>
        <v>15:00</v>
      </c>
      <c r="S20" s="28"/>
      <c r="T20" s="28"/>
      <c r="U20" s="21">
        <v>0.4375</v>
      </c>
      <c r="V20" s="21" t="str">
        <f t="shared" ref="V20:V25" si="24">IF(U20=0,"",U20+0.021)</f>
        <v>11:00</v>
      </c>
      <c r="W20" s="28"/>
      <c r="X20" s="28"/>
      <c r="Y20" s="22" t="str">
        <f t="shared" si="7"/>
        <v>5.0</v>
      </c>
      <c r="Z20" s="22" t="str">
        <f t="shared" ref="Z20:AC20" si="23">$P20</f>
        <v>8.0</v>
      </c>
      <c r="AA20" s="22" t="str">
        <f t="shared" si="23"/>
        <v>8.0</v>
      </c>
      <c r="AB20" s="22" t="str">
        <f t="shared" si="23"/>
        <v>8.0</v>
      </c>
      <c r="AC20" s="22" t="str">
        <f t="shared" si="23"/>
        <v>8.0</v>
      </c>
      <c r="AD20" s="23" t="str">
        <f t="shared" si="4"/>
        <v>45</v>
      </c>
    </row>
    <row r="21" ht="14.25" customHeight="1">
      <c r="B21" s="18">
        <v>16.0</v>
      </c>
      <c r="C21" s="18" t="s">
        <v>38</v>
      </c>
      <c r="D21" s="19"/>
      <c r="E21" s="20" t="str">
        <f>Personal!G21</f>
        <v>Cindy Melissa Aroche Ortiz</v>
      </c>
      <c r="F21" s="20" t="s">
        <v>13</v>
      </c>
      <c r="G21" s="20" t="str">
        <f>Personal!H21</f>
        <v>CONTROL</v>
      </c>
      <c r="H21" s="24"/>
      <c r="I21" s="24" t="str">
        <f t="shared" si="5"/>
        <v> </v>
      </c>
      <c r="J21" s="24"/>
      <c r="K21" s="24" t="str">
        <f>IF(G21="AGENTE",'Semana 1'!$J21+0.042,IF(G21="REDES",'Semana 1'!$J21+0.042,IF(G21="AGENTE RM",'Semana 1'!$J21+0.042,IF(G21="AGENTE APERTURA",'Semana 1'!$J21+0.021,IF(G21="AGENTE CIERRE",'Semana 1'!$J21+0.021," - ")))))</f>
        <v> - </v>
      </c>
      <c r="L21" s="24"/>
      <c r="M21" s="24" t="str">
        <f>IF(G21="AGENTE",'Semana 1'!$L21+0.014,IF(G21="REDES",'Semana 1'!$L21+0.014,IF(G21="AGENTE RM",'Semana 1'!$L21+0.014,IF(G21="AGENTE APERTURA",'Semana 1'!$L21+0.014,IF(G21="AGENTE CIERRE",'Semana 1'!$L21+0.014," - ")))))</f>
        <v> - </v>
      </c>
      <c r="N21" s="24"/>
      <c r="O21" s="24" t="str">
        <f>IF(G21="AGENTE",'Semana 1'!$N21+0.007,IF(G21="REDES",'Semana 1'!$N21+0.007,IF(G21="AGENTE RM",'Semana 1'!$N21+0.007,IF(G21="AGENTE APERTURA",'Semana 1'!$N21+0.007,IF(G21="AGENTE CIERRE",'Semana 1'!$N21+0.007," - ")))))</f>
        <v> - </v>
      </c>
      <c r="P21" s="25" t="str">
        <f t="shared" si="2"/>
        <v>-1.0</v>
      </c>
      <c r="Q21" s="24"/>
      <c r="R21" s="24" t="str">
        <f t="shared" si="10"/>
        <v/>
      </c>
      <c r="S21" s="26"/>
      <c r="T21" s="26"/>
      <c r="U21" s="24"/>
      <c r="V21" s="24" t="str">
        <f t="shared" si="24"/>
        <v/>
      </c>
      <c r="W21" s="26"/>
      <c r="X21" s="26"/>
      <c r="Y21" s="25" t="str">
        <f t="shared" si="7"/>
        <v>0.0</v>
      </c>
      <c r="Z21" s="25" t="str">
        <f t="shared" ref="Z21:AC21" si="25">$P21</f>
        <v>-1.0</v>
      </c>
      <c r="AA21" s="25" t="str">
        <f t="shared" si="25"/>
        <v>-1.0</v>
      </c>
      <c r="AB21" s="25" t="str">
        <f t="shared" si="25"/>
        <v>-1.0</v>
      </c>
      <c r="AC21" s="25" t="str">
        <f t="shared" si="25"/>
        <v>-1.0</v>
      </c>
      <c r="AD21" s="27" t="str">
        <f t="shared" si="4"/>
        <v>-5</v>
      </c>
    </row>
    <row r="22" ht="14.25" customHeight="1">
      <c r="B22" s="18">
        <v>17.0</v>
      </c>
      <c r="C22" s="18" t="s">
        <v>38</v>
      </c>
      <c r="D22" s="19"/>
      <c r="E22" s="20" t="str">
        <f>Personal!G22</f>
        <v>Katherin Gabriela Monzon Vivar</v>
      </c>
      <c r="F22" s="20" t="s">
        <v>13</v>
      </c>
      <c r="G22" s="20" t="str">
        <f>Personal!H22</f>
        <v>AGENTE</v>
      </c>
      <c r="H22" s="21">
        <v>0.3333333333333333</v>
      </c>
      <c r="I22" s="21" t="str">
        <f t="shared" si="5"/>
        <v>17:00</v>
      </c>
      <c r="J22" s="21">
        <v>0.5625</v>
      </c>
      <c r="K22" s="21" t="str">
        <f>IF(G22="AGENTE",'Semana 1'!$J22+0.042,IF(G22="REDES",'Semana 1'!$J22+0.042,IF(G22="AGENTE RM",'Semana 1'!$J22+0.042,IF(G22="AGENTE APERTURA",'Semana 1'!$J22+0.021,IF(G22="AGENTE CIERRE",'Semana 1'!$J22+0.021," - ")))))</f>
        <v>14:30</v>
      </c>
      <c r="L22" s="21">
        <v>0.3854166666666667</v>
      </c>
      <c r="M22" s="21" t="str">
        <f>IF(G22="AGENTE",'Semana 1'!$L22+0.014,IF(G22="REDES",'Semana 1'!$L22+0.014,IF(G22="AGENTE RM",'Semana 1'!$L22+0.014,IF(G22="AGENTE APERTURA",'Semana 1'!$L22+0.014,IF(G22="AGENTE CIERRE",'Semana 1'!$L22+0.014," - ")))))</f>
        <v>9:35</v>
      </c>
      <c r="N22" s="21">
        <v>0.6979166666666666</v>
      </c>
      <c r="O22" s="21" t="str">
        <f>IF(G22="AGENTE",'Semana 1'!$N22+0.007,IF(G22="REDES",'Semana 1'!$N22+0.007,IF(G22="AGENTE RM",'Semana 1'!$N22+0.007,IF(G22="AGENTE APERTURA",'Semana 1'!$N22+0.007,IF(G22="AGENTE CIERRE",'Semana 1'!$N22+0.007," - ")))))</f>
        <v>16:55</v>
      </c>
      <c r="P22" s="22" t="str">
        <f t="shared" si="2"/>
        <v>8.0</v>
      </c>
      <c r="Q22" s="21">
        <v>0.3333333333333333</v>
      </c>
      <c r="R22" s="21" t="str">
        <f t="shared" si="10"/>
        <v>13:00</v>
      </c>
      <c r="S22" s="28"/>
      <c r="T22" s="28"/>
      <c r="U22" s="21">
        <v>0.3541666666666667</v>
      </c>
      <c r="V22" s="21" t="str">
        <f t="shared" si="24"/>
        <v>9:00</v>
      </c>
      <c r="W22" s="28"/>
      <c r="X22" s="28"/>
      <c r="Y22" s="22" t="str">
        <f t="shared" si="7"/>
        <v>5.0</v>
      </c>
      <c r="Z22" s="22" t="str">
        <f t="shared" ref="Z22:AC22" si="26">$P22</f>
        <v>8.0</v>
      </c>
      <c r="AA22" s="22" t="str">
        <f t="shared" si="26"/>
        <v>8.0</v>
      </c>
      <c r="AB22" s="22" t="str">
        <f t="shared" si="26"/>
        <v>8.0</v>
      </c>
      <c r="AC22" s="22" t="str">
        <f t="shared" si="26"/>
        <v>8.0</v>
      </c>
      <c r="AD22" s="23" t="str">
        <f t="shared" si="4"/>
        <v>45</v>
      </c>
    </row>
    <row r="23" ht="14.25" customHeight="1">
      <c r="B23" s="18">
        <v>18.0</v>
      </c>
      <c r="C23" s="18" t="s">
        <v>38</v>
      </c>
      <c r="D23" s="19"/>
      <c r="E23" s="20" t="str">
        <f>Personal!G23</f>
        <v>Velvet Esmeralda Quiroz Godinez</v>
      </c>
      <c r="F23" s="20" t="s">
        <v>13</v>
      </c>
      <c r="G23" s="20" t="str">
        <f>Personal!H23</f>
        <v>AGENTE RM</v>
      </c>
      <c r="H23" s="24">
        <v>0.3125</v>
      </c>
      <c r="I23" s="24" t="str">
        <f t="shared" si="5"/>
        <v>16:30</v>
      </c>
      <c r="J23" s="24">
        <v>0.5416666666666666</v>
      </c>
      <c r="K23" s="24" t="str">
        <f>IF(G23="AGENTE",'Semana 1'!$J23+0.042,IF(G23="REDES",'Semana 1'!$J23+0.042,IF(G23="AGENTE RM",'Semana 1'!$J23+0.042,IF(G23="AGENTE APERTURA",'Semana 1'!$J23+0.021,IF(G23="AGENTE CIERRE",'Semana 1'!$J23+0.021," - ")))))</f>
        <v>14:00</v>
      </c>
      <c r="L23" s="24">
        <v>0.34722222222222227</v>
      </c>
      <c r="M23" s="24" t="str">
        <f>IF(G23="AGENTE",'Semana 1'!$L23+0.014,IF(G23="REDES",'Semana 1'!$L23+0.014,IF(G23="AGENTE RM",'Semana 1'!$L23+0.014,IF(G23="AGENTE APERTURA",'Semana 1'!$L23+0.014,IF(G23="AGENTE CIERRE",'Semana 1'!$L23+0.014," - ")))))</f>
        <v>8:40</v>
      </c>
      <c r="N23" s="24">
        <v>0.6041666666666666</v>
      </c>
      <c r="O23" s="24" t="str">
        <f>IF(G23="AGENTE",'Semana 1'!$N23+0.007,IF(G23="REDES",'Semana 1'!$N23+0.007,IF(G23="AGENTE RM",'Semana 1'!$N23+0.007,IF(G23="AGENTE APERTURA",'Semana 1'!$N23+0.007,IF(G23="AGENTE CIERRE",'Semana 1'!$N23+0.007," - ")))))</f>
        <v>14:40</v>
      </c>
      <c r="P23" s="25" t="str">
        <f t="shared" si="2"/>
        <v>8.0</v>
      </c>
      <c r="Q23" s="24">
        <v>0.375</v>
      </c>
      <c r="R23" s="24" t="str">
        <f t="shared" si="10"/>
        <v>14:00</v>
      </c>
      <c r="S23" s="26"/>
      <c r="T23" s="26" t="str">
        <f>IF(S23=0,"",S23+0.041)</f>
        <v/>
      </c>
      <c r="U23" s="24">
        <v>0.4166666666666667</v>
      </c>
      <c r="V23" s="24" t="str">
        <f t="shared" si="24"/>
        <v>10:30</v>
      </c>
      <c r="W23" s="26"/>
      <c r="X23" s="26" t="str">
        <f>IF(W23=0,"",W23+0.01)</f>
        <v/>
      </c>
      <c r="Y23" s="25" t="str">
        <f t="shared" si="7"/>
        <v>5.0</v>
      </c>
      <c r="Z23" s="25" t="str">
        <f t="shared" ref="Z23:AC23" si="27">$P23</f>
        <v>8.0</v>
      </c>
      <c r="AA23" s="25" t="str">
        <f t="shared" si="27"/>
        <v>8.0</v>
      </c>
      <c r="AB23" s="25" t="str">
        <f t="shared" si="27"/>
        <v>8.0</v>
      </c>
      <c r="AC23" s="25" t="str">
        <f t="shared" si="27"/>
        <v>8.0</v>
      </c>
      <c r="AD23" s="27" t="str">
        <f t="shared" si="4"/>
        <v>45</v>
      </c>
    </row>
    <row r="24" ht="15.75" customHeight="1">
      <c r="B24" s="18">
        <v>19.0</v>
      </c>
      <c r="C24" s="18" t="s">
        <v>38</v>
      </c>
      <c r="D24" s="19"/>
      <c r="E24" s="20" t="str">
        <f>Personal!G24</f>
        <v>Marcela Alessandra López Melgar</v>
      </c>
      <c r="F24" s="20" t="s">
        <v>13</v>
      </c>
      <c r="G24" s="20" t="str">
        <f>Personal!H24</f>
        <v>REDES</v>
      </c>
      <c r="H24" s="21">
        <v>0.2708333333333333</v>
      </c>
      <c r="I24" s="21" t="str">
        <f t="shared" si="5"/>
        <v>15:30</v>
      </c>
      <c r="J24" s="21">
        <v>0.5416666666666666</v>
      </c>
      <c r="K24" s="21" t="str">
        <f>IF(G24="AGENTE",'Semana 1'!$J24+0.042,IF(G24="REDES",'Semana 1'!$J24+0.042,IF(G24="AGENTE RM",'Semana 1'!$J24+0.042,IF(G24="AGENTE APERTURA",'Semana 1'!$J24+0.021,IF(G24="AGENTE CIERRE",'Semana 1'!$J24+0.021," - ")))))</f>
        <v>14:00</v>
      </c>
      <c r="L24" s="21">
        <v>0.3333333333333333</v>
      </c>
      <c r="M24" s="21" t="str">
        <f>IF(G24="AGENTE",'Semana 1'!$L24+0.014,IF(G24="REDES",'Semana 1'!$L24+0.014,IF(G24="AGENTE RM",'Semana 1'!$L24+0.014,IF(G24="AGENTE APERTURA",'Semana 1'!$L24+0.014,IF(G24="AGENTE CIERRE",'Semana 1'!$L24+0.014," - ")))))</f>
        <v>8:20</v>
      </c>
      <c r="N24" s="21">
        <v>0.5833333333333334</v>
      </c>
      <c r="O24" s="21" t="str">
        <f>IF(G24="AGENTE",'Semana 1'!$N24+0.007,IF(G24="REDES",'Semana 1'!$N24+0.007,IF(G24="AGENTE RM",'Semana 1'!$N24+0.007,IF(G24="AGENTE APERTURA",'Semana 1'!$N24+0.007,IF(G24="AGENTE CIERRE",'Semana 1'!$N24+0.007," - ")))))</f>
        <v>14:10</v>
      </c>
      <c r="P24" s="22" t="str">
        <f t="shared" si="2"/>
        <v>8.0</v>
      </c>
      <c r="Q24" s="21">
        <v>0.2708333333333333</v>
      </c>
      <c r="R24" s="21" t="str">
        <f t="shared" si="10"/>
        <v>11:30</v>
      </c>
      <c r="S24" s="21"/>
      <c r="T24" s="21"/>
      <c r="U24" s="21">
        <v>0.3125</v>
      </c>
      <c r="V24" s="21" t="str">
        <f t="shared" si="24"/>
        <v>8:00</v>
      </c>
      <c r="W24" s="21"/>
      <c r="X24" s="21"/>
      <c r="Y24" s="22" t="str">
        <f t="shared" si="7"/>
        <v>5.0</v>
      </c>
      <c r="Z24" s="22" t="str">
        <f t="shared" ref="Z24:AC24" si="28">$P24</f>
        <v>8.0</v>
      </c>
      <c r="AA24" s="22" t="str">
        <f t="shared" si="28"/>
        <v>8.0</v>
      </c>
      <c r="AB24" s="22" t="str">
        <f t="shared" si="28"/>
        <v>8.0</v>
      </c>
      <c r="AC24" s="22" t="str">
        <f t="shared" si="28"/>
        <v>8.0</v>
      </c>
      <c r="AD24" s="23" t="str">
        <f t="shared" si="4"/>
        <v>45</v>
      </c>
    </row>
    <row r="25" ht="14.25" customHeight="1">
      <c r="B25" s="18">
        <v>20.0</v>
      </c>
      <c r="C25" s="18" t="s">
        <v>38</v>
      </c>
      <c r="D25" s="19"/>
      <c r="E25" s="20" t="str">
        <f>Personal!G25</f>
        <v>Ana Marilú González de la Cruz</v>
      </c>
      <c r="F25" s="20" t="s">
        <v>13</v>
      </c>
      <c r="G25" s="20" t="str">
        <f>Personal!H25</f>
        <v>SOPORTE</v>
      </c>
      <c r="H25" s="24"/>
      <c r="I25" s="24" t="str">
        <f t="shared" si="5"/>
        <v> </v>
      </c>
      <c r="J25" s="24"/>
      <c r="K25" s="24" t="str">
        <f>IF(G25="AGENTE",'Semana 1'!$J25+0.042,IF(G25="REDES",'Semana 1'!$J25+0.042,IF(G25="AGENTE RM",'Semana 1'!$J25+0.042,IF(G25="AGENTE APERTURA",'Semana 1'!$J25+0.021,IF(G25="AGENTE CIERRE",'Semana 1'!$J25+0.021," - ")))))</f>
        <v> - </v>
      </c>
      <c r="L25" s="24"/>
      <c r="M25" s="24" t="str">
        <f>IF(G25="AGENTE",'Semana 1'!$L25+0.014,IF(G25="REDES",'Semana 1'!$L25+0.014,IF(G25="AGENTE RM",'Semana 1'!$L25+0.014,IF(G25="AGENTE APERTURA",'Semana 1'!$L25+0.014,IF(G25="AGENTE CIERRE",'Semana 1'!$L25+0.014," - ")))))</f>
        <v> - </v>
      </c>
      <c r="N25" s="24"/>
      <c r="O25" s="24" t="str">
        <f>IF(G25="AGENTE",'Semana 1'!$N25+0.007,IF(G25="REDES",'Semana 1'!$N25+0.007,IF(G25="AGENTE RM",'Semana 1'!$N25+0.007,IF(G25="AGENTE APERTURA",'Semana 1'!$N25+0.007,IF(G25="AGENTE CIERRE",'Semana 1'!$N25+0.007," - ")))))</f>
        <v> - </v>
      </c>
      <c r="P25" s="25" t="str">
        <f t="shared" si="2"/>
        <v>-1.0</v>
      </c>
      <c r="Q25" s="24"/>
      <c r="R25" s="24" t="str">
        <f t="shared" si="10"/>
        <v/>
      </c>
      <c r="S25" s="26"/>
      <c r="T25" s="26"/>
      <c r="U25" s="24"/>
      <c r="V25" s="24" t="str">
        <f t="shared" si="24"/>
        <v/>
      </c>
      <c r="W25" s="26"/>
      <c r="X25" s="26"/>
      <c r="Y25" s="25" t="str">
        <f t="shared" si="7"/>
        <v>0.0</v>
      </c>
      <c r="Z25" s="25" t="str">
        <f t="shared" ref="Z25:AC25" si="29">$P25</f>
        <v>-1.0</v>
      </c>
      <c r="AA25" s="25" t="str">
        <f t="shared" si="29"/>
        <v>-1.0</v>
      </c>
      <c r="AB25" s="25" t="str">
        <f t="shared" si="29"/>
        <v>-1.0</v>
      </c>
      <c r="AC25" s="25" t="str">
        <f t="shared" si="29"/>
        <v>-1.0</v>
      </c>
      <c r="AD25" s="27" t="str">
        <f t="shared" si="4"/>
        <v>-5</v>
      </c>
    </row>
    <row r="26" ht="14.25" customHeight="1">
      <c r="B26" s="18">
        <v>21.0</v>
      </c>
      <c r="C26" s="18" t="s">
        <v>38</v>
      </c>
      <c r="D26" s="19"/>
      <c r="E26" s="20" t="str">
        <f>Personal!G26</f>
        <v>Ingrid Rebeca Santizo Lopez</v>
      </c>
      <c r="F26" s="20" t="s">
        <v>13</v>
      </c>
      <c r="G26" s="20" t="str">
        <f>Personal!H26</f>
        <v>AGENTE APERTURA</v>
      </c>
      <c r="H26" s="21">
        <v>0.0</v>
      </c>
      <c r="I26" s="21">
        <v>0.2916666666666667</v>
      </c>
      <c r="J26" s="21">
        <v>0.125</v>
      </c>
      <c r="K26" s="21" t="str">
        <f>IF(G26="AGENTE",'Semana 1'!$J26+0.042,IF(G26="REDES",'Semana 1'!$J26+0.042,IF(G26="AGENTE RM",'Semana 1'!$J26+0.042,IF(G26="AGENTE APERTURA",'Semana 1'!$J26+0.021,IF(G26="AGENTE CIERRE",'Semana 1'!$J26+0.021," - ")))))</f>
        <v>3:30</v>
      </c>
      <c r="L26" s="21">
        <v>0.14583333333333334</v>
      </c>
      <c r="M26" s="21" t="str">
        <f>IF(G26="AGENTE",'Semana 1'!$L26+0.014,IF(G26="REDES",'Semana 1'!$L26+0.014,IF(G26="AGENTE RM",'Semana 1'!$L26+0.014,IF(G26="AGENTE APERTURA",'Semana 1'!$L26+0.014,IF(G26="AGENTE CIERRE",'Semana 1'!$L26+0.014," - ")))))</f>
        <v>3:50</v>
      </c>
      <c r="N26" s="21">
        <v>0.15972222222222224</v>
      </c>
      <c r="O26" s="21" t="str">
        <f>IF(G26="AGENTE",'Semana 1'!$N26+0.007,IF(G26="REDES",'Semana 1'!$N26+0.007,IF(G26="AGENTE RM",'Semana 1'!$N26+0.007,IF(G26="AGENTE APERTURA",'Semana 1'!$N26+0.007,IF(G26="AGENTE CIERRE",'Semana 1'!$N26+0.007," - ")))))</f>
        <v>4:00</v>
      </c>
      <c r="P26" s="22" t="str">
        <f t="shared" si="2"/>
        <v>6.0</v>
      </c>
      <c r="Q26" s="21">
        <v>0.0</v>
      </c>
      <c r="R26" s="21">
        <v>0.2916666666666667</v>
      </c>
      <c r="S26" s="21">
        <v>0.125</v>
      </c>
      <c r="T26" s="21" t="str">
        <f>IF(G26="AGENTE",'Semana 1'!$S26+0.042,IF(G26="REDES",'Semana 1'!$S26+0.042,IF(G26="AGENTE RM",'Semana 1'!$S26+0.042,IF(G26="AGENTE APERTURA",'Semana 1'!$S26+0.021,IF(G26="AGENTE CIERRE",'Semana 1'!$S26+0.021," - ")))))</f>
        <v>3:30</v>
      </c>
      <c r="U26" s="21">
        <v>0.14583333333333334</v>
      </c>
      <c r="V26" s="21" t="str">
        <f>IF(G26="AGENTE",'Semana 1'!$U26+0.014,IF(G26="REDES",'Semana 1'!$U26+0.014,IF(G26="AGENTE RM",'Semana 1'!$U26+0.014,IF(G26="AGENTE APERTURA",'Semana 1'!$U26+0.014,IF(G26="AGENTE CIERRE",'Semana 1'!$U26+0.014," - ")))))</f>
        <v>3:50</v>
      </c>
      <c r="W26" s="21">
        <v>0.15972222222222224</v>
      </c>
      <c r="X26" s="21" t="str">
        <f>IF(G26="AGENTE",'Semana 1'!$W26+0.007,IF(G26="REDES",'Semana 1'!$W26+0.007,IF(G26="AGENTE RM",'Semana 1'!$W26+0.007,IF(G26="AGENTE APERTURA",'Semana 1'!$W26+0.007,IF(G26="AGENTE CIERRE",'Semana 1'!$W26+0.007," - ")))))</f>
        <v>4:00</v>
      </c>
      <c r="Y26" s="22" t="str">
        <f>(IFERROR(R26-Q26,0)*24)-1</f>
        <v>6.0</v>
      </c>
      <c r="Z26" s="22" t="str">
        <f t="shared" ref="Z26:AC26" si="30">$P26</f>
        <v>6.0</v>
      </c>
      <c r="AA26" s="22" t="str">
        <f t="shared" si="30"/>
        <v>6.0</v>
      </c>
      <c r="AB26" s="22" t="str">
        <f t="shared" si="30"/>
        <v>6.0</v>
      </c>
      <c r="AC26" s="22" t="str">
        <f t="shared" si="30"/>
        <v>6.0</v>
      </c>
      <c r="AD26" s="23" t="str">
        <f t="shared" si="4"/>
        <v>36</v>
      </c>
    </row>
    <row r="27" ht="14.25" customHeight="1">
      <c r="B27" s="18">
        <v>22.0</v>
      </c>
      <c r="C27" s="18" t="s">
        <v>39</v>
      </c>
      <c r="D27" s="19"/>
      <c r="E27" s="20" t="str">
        <f>Personal!G27</f>
        <v>-</v>
      </c>
      <c r="F27" s="20" t="s">
        <v>13</v>
      </c>
      <c r="G27" s="20" t="str">
        <f>Personal!H27</f>
        <v>-</v>
      </c>
      <c r="H27" s="24"/>
      <c r="I27" s="24" t="str">
        <f>IF(H27=0," ",IF(Q27=0,(H27+0.417),(H27+0.292)))</f>
        <v> </v>
      </c>
      <c r="J27" s="24"/>
      <c r="K27" s="24" t="str">
        <f>IF(G27="AGENTE",'Semana 1'!$J27+0.042,IF(G27="REDES",'Semana 1'!$J27+0.042,IF(G27="AGENTE RM",'Semana 1'!$J27+0.042,IF(G27="AGENTE APERTURA",'Semana 1'!$J27+0.021,IF(G27="AGENTE CIERRE",'Semana 1'!$J27+0.021," - ")))))</f>
        <v> - </v>
      </c>
      <c r="L27" s="24"/>
      <c r="M27" s="24" t="str">
        <f>IF(G27="AGENTE",'Semana 1'!$L27+0.014,IF(G27="REDES",'Semana 1'!$L27+0.014,IF(G27="AGENTE RM",'Semana 1'!$L27+0.014,IF(G27="AGENTE APERTURA",'Semana 1'!$L27+0.014,IF(G27="AGENTE CIERRE",'Semana 1'!$L27+0.014," - ")))))</f>
        <v> - </v>
      </c>
      <c r="N27" s="24"/>
      <c r="O27" s="24" t="str">
        <f>IF(G27="AGENTE",'Semana 1'!$N27+0.007,IF(G27="REDES",'Semana 1'!$N27+0.007,IF(G27="AGENTE RM",'Semana 1'!$N27+0.007,IF(G27="AGENTE APERTURA",'Semana 1'!$N27+0.007,IF(G27="AGENTE CIERRE",'Semana 1'!$N27+0.007," - ")))))</f>
        <v> - </v>
      </c>
      <c r="P27" s="25" t="str">
        <f t="shared" si="2"/>
        <v>-1.0</v>
      </c>
      <c r="Q27" s="24"/>
      <c r="R27" s="24" t="str">
        <f>IF(Q27=0," ",IF(Z27=0,(Q27+0.417),(Q27+0.292)))</f>
        <v> </v>
      </c>
      <c r="S27" s="26"/>
      <c r="T27" s="26" t="str">
        <f t="shared" ref="T27:T28" si="32">IF(S27=0,"",S27+0.041)</f>
        <v/>
      </c>
      <c r="U27" s="24"/>
      <c r="V27" s="24" t="str">
        <f t="shared" ref="V27:V28" si="33">IF(U27=0,"",U27+0.01)</f>
        <v/>
      </c>
      <c r="W27" s="26"/>
      <c r="X27" s="26" t="str">
        <f t="shared" ref="X27:X28" si="34">IF(W27=0,"",W27+0.01)</f>
        <v/>
      </c>
      <c r="Y27" s="25" t="str">
        <f t="shared" ref="Y27:Y53" si="35">(IFERROR(R27-Q27,0)*24)</f>
        <v>0.0</v>
      </c>
      <c r="Z27" s="25" t="str">
        <f t="shared" ref="Z27:AC27" si="31">$P27</f>
        <v>-1.0</v>
      </c>
      <c r="AA27" s="25" t="str">
        <f t="shared" si="31"/>
        <v>-1.0</v>
      </c>
      <c r="AB27" s="25" t="str">
        <f t="shared" si="31"/>
        <v>-1.0</v>
      </c>
      <c r="AC27" s="25" t="str">
        <f t="shared" si="31"/>
        <v>-1.0</v>
      </c>
      <c r="AD27" s="27" t="str">
        <f t="shared" si="4"/>
        <v>-5</v>
      </c>
    </row>
    <row r="28" ht="14.25" customHeight="1">
      <c r="B28" s="18">
        <v>23.0</v>
      </c>
      <c r="C28" s="18" t="s">
        <v>38</v>
      </c>
      <c r="D28" s="19"/>
      <c r="E28" s="20" t="str">
        <f>Personal!G28</f>
        <v>Byron Abdiel Santos Mejia</v>
      </c>
      <c r="F28" s="20" t="s">
        <v>13</v>
      </c>
      <c r="G28" s="20" t="str">
        <f>Personal!H28</f>
        <v>AGENTE</v>
      </c>
      <c r="H28" s="21">
        <v>0.375</v>
      </c>
      <c r="I28" s="21" t="str">
        <f t="shared" ref="I28:I32" si="37">IF(H28=0," ",IF(Q28=0,(H28+0.417),(H28+0.3756)))</f>
        <v>18:00</v>
      </c>
      <c r="J28" s="21">
        <v>0.625</v>
      </c>
      <c r="K28" s="21" t="str">
        <f>IF(G28="AGENTE",'Semana 1'!$J28+0.042,IF(G28="REDES",'Semana 1'!$J28+0.042,IF(G28="AGENTE RM",'Semana 1'!$J28+0.042,IF(G28="AGENTE APERTURA",'Semana 1'!$J28+0.021,IF(G28="AGENTE CIERRE",'Semana 1'!$J28+0.021," - ")))))</f>
        <v>16:00</v>
      </c>
      <c r="L28" s="21">
        <v>0.2916666666666667</v>
      </c>
      <c r="M28" s="21" t="str">
        <f>IF(G28="AGENTE",'Semana 1'!$L28+0.014,IF(G28="REDES",'Semana 1'!$L28+0.014,IF(G28="AGENTE RM",'Semana 1'!$L28+0.014,IF(G28="AGENTE APERTURA",'Semana 1'!$L28+0.014,IF(G28="AGENTE CIERRE",'Semana 1'!$L28+0.014," - ")))))</f>
        <v>7:20</v>
      </c>
      <c r="N28" s="21">
        <v>0.71875</v>
      </c>
      <c r="O28" s="21" t="str">
        <f>IF(G28="AGENTE",'Semana 1'!$N28+0.007,IF(G28="REDES",'Semana 1'!$N28+0.007,IF(G28="AGENTE RM",'Semana 1'!$N28+0.007,IF(G28="AGENTE APERTURA",'Semana 1'!$N28+0.007,IF(G28="AGENTE CIERRE",'Semana 1'!$N28+0.007," - ")))))</f>
        <v>17:25</v>
      </c>
      <c r="P28" s="22" t="str">
        <f t="shared" si="2"/>
        <v>8.0</v>
      </c>
      <c r="Q28" s="21">
        <v>0.375</v>
      </c>
      <c r="R28" s="21" t="str">
        <f t="shared" ref="R28:R32" si="38">IF(Q28=0,"",Q28+0.209)</f>
        <v>14:00</v>
      </c>
      <c r="S28" s="21"/>
      <c r="T28" s="21" t="str">
        <f t="shared" si="32"/>
        <v/>
      </c>
      <c r="U28" s="21">
        <v>0.3770833333333334</v>
      </c>
      <c r="V28" s="21" t="str">
        <f t="shared" si="33"/>
        <v>9:17</v>
      </c>
      <c r="W28" s="21"/>
      <c r="X28" s="21" t="str">
        <f t="shared" si="34"/>
        <v/>
      </c>
      <c r="Y28" s="22" t="str">
        <f t="shared" si="35"/>
        <v>5.0</v>
      </c>
      <c r="Z28" s="22" t="str">
        <f t="shared" ref="Z28:AC28" si="36">$P28</f>
        <v>8.0</v>
      </c>
      <c r="AA28" s="22" t="str">
        <f t="shared" si="36"/>
        <v>8.0</v>
      </c>
      <c r="AB28" s="22" t="str">
        <f t="shared" si="36"/>
        <v>8.0</v>
      </c>
      <c r="AC28" s="22" t="str">
        <f t="shared" si="36"/>
        <v>8.0</v>
      </c>
      <c r="AD28" s="23" t="str">
        <f t="shared" si="4"/>
        <v>45</v>
      </c>
    </row>
    <row r="29" ht="15.75" customHeight="1">
      <c r="B29" s="18">
        <v>24.0</v>
      </c>
      <c r="C29" s="18" t="s">
        <v>38</v>
      </c>
      <c r="D29" s="19"/>
      <c r="E29" s="20" t="str">
        <f>Personal!G29</f>
        <v>Karen Lisbeth Vega Ramirez</v>
      </c>
      <c r="F29" s="20" t="s">
        <v>13</v>
      </c>
      <c r="G29" s="20" t="str">
        <f>Personal!H29</f>
        <v>REDES</v>
      </c>
      <c r="H29" s="24">
        <v>0.375</v>
      </c>
      <c r="I29" s="24" t="str">
        <f t="shared" si="37"/>
        <v>18:00</v>
      </c>
      <c r="J29" s="24">
        <v>0.5</v>
      </c>
      <c r="K29" s="24" t="str">
        <f>IF(G29="AGENTE",'Semana 1'!$J29+0.042,IF(G29="REDES",'Semana 1'!$J29+0.042,IF(G29="AGENTE RM",'Semana 1'!$J29+0.042,IF(G29="AGENTE APERTURA",'Semana 1'!$J29+0.021,IF(G29="AGENTE CIERRE",'Semana 1'!$J29+0.021," - ")))))</f>
        <v>13:00</v>
      </c>
      <c r="L29" s="24">
        <v>0.4583333333333333</v>
      </c>
      <c r="M29" s="24" t="str">
        <f>IF(G29="AGENTE",'Semana 1'!$L29+0.014,IF(G29="REDES",'Semana 1'!$L29+0.014,IF(G29="AGENTE RM",'Semana 1'!$L29+0.014,IF(G29="AGENTE APERTURA",'Semana 1'!$L29+0.014,IF(G29="AGENTE CIERRE",'Semana 1'!$L29+0.014," - ")))))</f>
        <v>11:20</v>
      </c>
      <c r="N29" s="24">
        <v>0.6597222222222222</v>
      </c>
      <c r="O29" s="24" t="str">
        <f>IF(G29="AGENTE",'Semana 1'!$N29+0.007,IF(G29="REDES",'Semana 1'!$N29+0.007,IF(G29="AGENTE RM",'Semana 1'!$N29+0.007,IF(G29="AGENTE APERTURA",'Semana 1'!$N29+0.007,IF(G29="AGENTE CIERRE",'Semana 1'!$N29+0.007," - ")))))</f>
        <v>16:00</v>
      </c>
      <c r="P29" s="25" t="str">
        <f t="shared" si="2"/>
        <v>8.0</v>
      </c>
      <c r="Q29" s="24">
        <v>0.2708333333333333</v>
      </c>
      <c r="R29" s="24" t="str">
        <f t="shared" si="38"/>
        <v>11:30</v>
      </c>
      <c r="S29" s="26"/>
      <c r="T29" s="26"/>
      <c r="U29" s="24">
        <v>0.3333333333333333</v>
      </c>
      <c r="V29" s="24" t="str">
        <f t="shared" ref="V29:V32" si="40">IF(U29=0,"",U29+0.021)</f>
        <v>8:30</v>
      </c>
      <c r="W29" s="26"/>
      <c r="X29" s="26"/>
      <c r="Y29" s="25" t="str">
        <f t="shared" si="35"/>
        <v>5.0</v>
      </c>
      <c r="Z29" s="25" t="str">
        <f t="shared" ref="Z29:AC29" si="39">$P29</f>
        <v>8.0</v>
      </c>
      <c r="AA29" s="25" t="str">
        <f t="shared" si="39"/>
        <v>8.0</v>
      </c>
      <c r="AB29" s="25" t="str">
        <f t="shared" si="39"/>
        <v>8.0</v>
      </c>
      <c r="AC29" s="25" t="str">
        <f t="shared" si="39"/>
        <v>8.0</v>
      </c>
      <c r="AD29" s="27" t="str">
        <f t="shared" si="4"/>
        <v>45</v>
      </c>
    </row>
    <row r="30" ht="14.25" customHeight="1">
      <c r="B30" s="18">
        <v>25.0</v>
      </c>
      <c r="C30" s="18" t="s">
        <v>38</v>
      </c>
      <c r="D30" s="19"/>
      <c r="E30" s="20" t="str">
        <f>Personal!G30</f>
        <v>Osiris Azucena Leiva Leon</v>
      </c>
      <c r="F30" s="20" t="s">
        <v>13</v>
      </c>
      <c r="G30" s="20" t="str">
        <f>Personal!H30</f>
        <v>AGENTE</v>
      </c>
      <c r="H30" s="21">
        <v>0.2916666666666667</v>
      </c>
      <c r="I30" s="21" t="str">
        <f t="shared" si="37"/>
        <v>16:00</v>
      </c>
      <c r="J30" s="21">
        <v>0.5</v>
      </c>
      <c r="K30" s="21" t="str">
        <f>IF(G30="AGENTE",'Semana 1'!$J30+0.042,IF(G30="REDES",'Semana 1'!$J30+0.042,IF(G30="AGENTE RM",'Semana 1'!$J30+0.042,IF(G30="AGENTE APERTURA",'Semana 1'!$J30+0.021,IF(G30="AGENTE CIERRE",'Semana 1'!$J30+0.021," - ")))))</f>
        <v>13:00</v>
      </c>
      <c r="L30" s="21">
        <v>0.3541666666666667</v>
      </c>
      <c r="M30" s="21" t="str">
        <f>IF(G30="AGENTE",'Semana 1'!$L30+0.014,IF(G30="REDES",'Semana 1'!$L30+0.014,IF(G30="AGENTE RM",'Semana 1'!$L30+0.014,IF(G30="AGENTE APERTURA",'Semana 1'!$L30+0.014,IF(G30="AGENTE CIERRE",'Semana 1'!$L30+0.014," - ")))))</f>
        <v>8:50</v>
      </c>
      <c r="N30" s="21">
        <v>0.65625</v>
      </c>
      <c r="O30" s="21" t="str">
        <f>IF(G30="AGENTE",'Semana 1'!$N30+0.007,IF(G30="REDES",'Semana 1'!$N30+0.007,IF(G30="AGENTE RM",'Semana 1'!$N30+0.007,IF(G30="AGENTE APERTURA",'Semana 1'!$N30+0.007,IF(G30="AGENTE CIERRE",'Semana 1'!$N30+0.007," - ")))))</f>
        <v>15:55</v>
      </c>
      <c r="P30" s="22" t="str">
        <f t="shared" si="2"/>
        <v>8.0</v>
      </c>
      <c r="Q30" s="21">
        <v>0.4166666666666667</v>
      </c>
      <c r="R30" s="21" t="str">
        <f t="shared" si="38"/>
        <v>15:00</v>
      </c>
      <c r="S30" s="28"/>
      <c r="T30" s="28"/>
      <c r="U30" s="21">
        <v>0.4583333333333333</v>
      </c>
      <c r="V30" s="21" t="str">
        <f t="shared" si="40"/>
        <v>11:30</v>
      </c>
      <c r="W30" s="28"/>
      <c r="X30" s="28"/>
      <c r="Y30" s="22" t="str">
        <f t="shared" si="35"/>
        <v>5.0</v>
      </c>
      <c r="Z30" s="22" t="str">
        <f t="shared" ref="Z30:AC30" si="41">$P30</f>
        <v>8.0</v>
      </c>
      <c r="AA30" s="22" t="str">
        <f t="shared" si="41"/>
        <v>8.0</v>
      </c>
      <c r="AB30" s="22" t="str">
        <f t="shared" si="41"/>
        <v>8.0</v>
      </c>
      <c r="AC30" s="22" t="str">
        <f t="shared" si="41"/>
        <v>8.0</v>
      </c>
      <c r="AD30" s="23" t="str">
        <f t="shared" si="4"/>
        <v>45</v>
      </c>
    </row>
    <row r="31" ht="14.25" customHeight="1">
      <c r="B31" s="18">
        <v>26.0</v>
      </c>
      <c r="C31" s="18" t="s">
        <v>38</v>
      </c>
      <c r="D31" s="19"/>
      <c r="E31" s="20" t="str">
        <f>Personal!G31</f>
        <v>Gabriela Abigail Guzman Diaz</v>
      </c>
      <c r="F31" s="20" t="s">
        <v>13</v>
      </c>
      <c r="G31" s="20" t="str">
        <f>Personal!H31</f>
        <v>SOPORTE</v>
      </c>
      <c r="H31" s="24"/>
      <c r="I31" s="24" t="str">
        <f t="shared" si="37"/>
        <v> </v>
      </c>
      <c r="J31" s="24"/>
      <c r="K31" s="24" t="str">
        <f>IF(G31="AGENTE",'Semana 1'!$J31+0.042,IF(G31="REDES",'Semana 1'!$J31+0.042,IF(G31="AGENTE RM",'Semana 1'!$J31+0.042,IF(G31="AGENTE APERTURA",'Semana 1'!$J31+0.021,IF(G31="AGENTE CIERRE",'Semana 1'!$J31+0.021," - ")))))</f>
        <v> - </v>
      </c>
      <c r="L31" s="24"/>
      <c r="M31" s="24" t="str">
        <f>IF(G31="AGENTE",'Semana 1'!$L31+0.014,IF(G31="REDES",'Semana 1'!$L31+0.014,IF(G31="AGENTE RM",'Semana 1'!$L31+0.014,IF(G31="AGENTE APERTURA",'Semana 1'!$L31+0.014,IF(G31="AGENTE CIERRE",'Semana 1'!$L31+0.014," - ")))))</f>
        <v> - </v>
      </c>
      <c r="N31" s="24"/>
      <c r="O31" s="24" t="str">
        <f>IF(G31="AGENTE",'Semana 1'!$N31+0.007,IF(G31="REDES",'Semana 1'!$N31+0.007,IF(G31="AGENTE RM",'Semana 1'!$N31+0.007,IF(G31="AGENTE APERTURA",'Semana 1'!$N31+0.007,IF(G31="AGENTE CIERRE",'Semana 1'!$N31+0.007," - ")))))</f>
        <v> - </v>
      </c>
      <c r="P31" s="25" t="str">
        <f t="shared" si="2"/>
        <v>-1.0</v>
      </c>
      <c r="Q31" s="24"/>
      <c r="R31" s="24" t="str">
        <f t="shared" si="38"/>
        <v/>
      </c>
      <c r="S31" s="26"/>
      <c r="T31" s="26"/>
      <c r="U31" s="24"/>
      <c r="V31" s="24" t="str">
        <f t="shared" si="40"/>
        <v/>
      </c>
      <c r="W31" s="26"/>
      <c r="X31" s="26"/>
      <c r="Y31" s="25" t="str">
        <f t="shared" si="35"/>
        <v>0.0</v>
      </c>
      <c r="Z31" s="25" t="str">
        <f t="shared" ref="Z31:AC31" si="42">$P31</f>
        <v>-1.0</v>
      </c>
      <c r="AA31" s="25" t="str">
        <f t="shared" si="42"/>
        <v>-1.0</v>
      </c>
      <c r="AB31" s="25" t="str">
        <f t="shared" si="42"/>
        <v>-1.0</v>
      </c>
      <c r="AC31" s="25" t="str">
        <f t="shared" si="42"/>
        <v>-1.0</v>
      </c>
      <c r="AD31" s="27" t="str">
        <f t="shared" si="4"/>
        <v>-5</v>
      </c>
    </row>
    <row r="32" ht="14.25" customHeight="1">
      <c r="B32" s="18">
        <v>27.0</v>
      </c>
      <c r="C32" s="18" t="s">
        <v>38</v>
      </c>
      <c r="D32" s="19"/>
      <c r="E32" s="20" t="str">
        <f>Personal!G32</f>
        <v>Consuelo Magali Herrarte Bautista</v>
      </c>
      <c r="F32" s="20" t="s">
        <v>13</v>
      </c>
      <c r="G32" s="20" t="str">
        <f>Personal!H32</f>
        <v>AGENTE</v>
      </c>
      <c r="H32" s="21">
        <v>0.4166666666666667</v>
      </c>
      <c r="I32" s="21" t="str">
        <f t="shared" si="37"/>
        <v>19:00</v>
      </c>
      <c r="J32" s="21">
        <v>0.625</v>
      </c>
      <c r="K32" s="21" t="str">
        <f>IF(G32="AGENTE",'Semana 1'!$J32+0.042,IF(G32="REDES",'Semana 1'!$J32+0.042,IF(G32="AGENTE RM",'Semana 1'!$J32+0.042,IF(G32="AGENTE APERTURA",'Semana 1'!$J32+0.021,IF(G32="AGENTE CIERRE",'Semana 1'!$J32+0.021," - ")))))</f>
        <v>16:00</v>
      </c>
      <c r="L32" s="21">
        <v>0.4375</v>
      </c>
      <c r="M32" s="21" t="str">
        <f>IF(G32="AGENTE",'Semana 1'!$L32+0.014,IF(G32="REDES",'Semana 1'!$L32+0.014,IF(G32="AGENTE RM",'Semana 1'!$L32+0.014,IF(G32="AGENTE APERTURA",'Semana 1'!$L32+0.014,IF(G32="AGENTE CIERRE",'Semana 1'!$L32+0.014," - ")))))</f>
        <v>10:50</v>
      </c>
      <c r="N32" s="21">
        <v>0.75</v>
      </c>
      <c r="O32" s="21" t="str">
        <f>IF(G32="AGENTE",'Semana 1'!$N32+0.007,IF(G32="REDES",'Semana 1'!$N32+0.007,IF(G32="AGENTE RM",'Semana 1'!$N32+0.007,IF(G32="AGENTE APERTURA",'Semana 1'!$N32+0.007,IF(G32="AGENTE CIERRE",'Semana 1'!$N32+0.007," - ")))))</f>
        <v>18:10</v>
      </c>
      <c r="P32" s="22" t="str">
        <f t="shared" si="2"/>
        <v>8.0</v>
      </c>
      <c r="Q32" s="21">
        <v>0.4166666666666667</v>
      </c>
      <c r="R32" s="21" t="str">
        <f t="shared" si="38"/>
        <v>15:00</v>
      </c>
      <c r="S32" s="28"/>
      <c r="T32" s="28"/>
      <c r="U32" s="21">
        <v>0.4791666666666667</v>
      </c>
      <c r="V32" s="21" t="str">
        <f t="shared" si="40"/>
        <v>12:00</v>
      </c>
      <c r="W32" s="28"/>
      <c r="X32" s="28"/>
      <c r="Y32" s="22" t="str">
        <f t="shared" si="35"/>
        <v>5.0</v>
      </c>
      <c r="Z32" s="22" t="str">
        <f t="shared" ref="Z32:AC32" si="43">$P32</f>
        <v>8.0</v>
      </c>
      <c r="AA32" s="22" t="str">
        <f t="shared" si="43"/>
        <v>8.0</v>
      </c>
      <c r="AB32" s="22" t="str">
        <f t="shared" si="43"/>
        <v>8.0</v>
      </c>
      <c r="AC32" s="22" t="str">
        <f t="shared" si="43"/>
        <v>8.0</v>
      </c>
      <c r="AD32" s="23" t="str">
        <f t="shared" si="4"/>
        <v>45</v>
      </c>
    </row>
    <row r="33" ht="14.25" customHeight="1">
      <c r="B33" s="18">
        <v>28.0</v>
      </c>
      <c r="C33" s="18" t="s">
        <v>39</v>
      </c>
      <c r="D33" s="19"/>
      <c r="E33" s="20" t="str">
        <f>Personal!G33</f>
        <v>-</v>
      </c>
      <c r="F33" s="20" t="s">
        <v>13</v>
      </c>
      <c r="G33" s="20" t="str">
        <f>Personal!H33</f>
        <v>-</v>
      </c>
      <c r="H33" s="24"/>
      <c r="I33" s="24" t="str">
        <f>IF(H33=0," ",IF(Q33=0,(H33+0.417),(H33+0.292)))</f>
        <v> </v>
      </c>
      <c r="J33" s="24"/>
      <c r="K33" s="24" t="str">
        <f>IF(G33="AGENTE",'Semana 1'!$J33+0.042,IF(G33="REDES",'Semana 1'!$J33+0.042,IF(G33="AGENTE RM",'Semana 1'!$J33+0.042,IF(G33="AGENTE APERTURA",'Semana 1'!$J33+0.021,IF(G33="AGENTE CIERRE",'Semana 1'!$J33+0.021," - ")))))</f>
        <v> - </v>
      </c>
      <c r="L33" s="24"/>
      <c r="M33" s="24" t="str">
        <f>IF(G33="AGENTE",'Semana 1'!$L33+0.014,IF(G33="REDES",'Semana 1'!$L33+0.014,IF(G33="AGENTE RM",'Semana 1'!$L33+0.014,IF(G33="AGENTE APERTURA",'Semana 1'!$L33+0.014,IF(G33="AGENTE CIERRE",'Semana 1'!$L33+0.014," - ")))))</f>
        <v> - </v>
      </c>
      <c r="N33" s="24"/>
      <c r="O33" s="24" t="str">
        <f>IF(G33="AGENTE",'Semana 1'!$N33+0.007,IF(G33="REDES",'Semana 1'!$N33+0.007,IF(G33="AGENTE RM",'Semana 1'!$N33+0.007,IF(G33="AGENTE APERTURA",'Semana 1'!$N33+0.007,IF(G33="AGENTE CIERRE",'Semana 1'!$N33+0.007," - ")))))</f>
        <v> - </v>
      </c>
      <c r="P33" s="25" t="str">
        <f t="shared" si="2"/>
        <v>-1.0</v>
      </c>
      <c r="Q33" s="24"/>
      <c r="R33" s="24" t="str">
        <f>IF(Q33=0," ",IF(Z33=0,(Q33+0.417),(Q33+0.292)))</f>
        <v> </v>
      </c>
      <c r="S33" s="26"/>
      <c r="T33" s="26" t="str">
        <f t="shared" ref="T33:T35" si="45">IF(S33=0,"",S33+0.041)</f>
        <v/>
      </c>
      <c r="U33" s="24"/>
      <c r="V33" s="24" t="str">
        <f t="shared" ref="V33:V35" si="46">IF(U33=0,"",U33+0.01)</f>
        <v/>
      </c>
      <c r="W33" s="26"/>
      <c r="X33" s="26" t="str">
        <f t="shared" ref="X33:X35" si="47">IF(W33=0,"",W33+0.01)</f>
        <v/>
      </c>
      <c r="Y33" s="25" t="str">
        <f t="shared" si="35"/>
        <v>0.0</v>
      </c>
      <c r="Z33" s="25" t="str">
        <f t="shared" ref="Z33:AC33" si="44">$P33</f>
        <v>-1.0</v>
      </c>
      <c r="AA33" s="25" t="str">
        <f t="shared" si="44"/>
        <v>-1.0</v>
      </c>
      <c r="AB33" s="25" t="str">
        <f t="shared" si="44"/>
        <v>-1.0</v>
      </c>
      <c r="AC33" s="25" t="str">
        <f t="shared" si="44"/>
        <v>-1.0</v>
      </c>
      <c r="AD33" s="27" t="str">
        <f t="shared" si="4"/>
        <v>-5</v>
      </c>
    </row>
    <row r="34" ht="14.25" customHeight="1">
      <c r="B34" s="18">
        <v>29.0</v>
      </c>
      <c r="C34" s="18" t="s">
        <v>39</v>
      </c>
      <c r="D34" s="19"/>
      <c r="E34" s="20" t="str">
        <f>Personal!G34</f>
        <v>-</v>
      </c>
      <c r="F34" s="20" t="s">
        <v>13</v>
      </c>
      <c r="G34" s="20" t="str">
        <f>Personal!H34</f>
        <v>-</v>
      </c>
      <c r="H34" s="21"/>
      <c r="I34" s="21" t="str">
        <f t="shared" ref="I34:I38" si="49">IF(H34=0," ",IF(Q34=0,(H34+0.417),(H34+0.3756)))</f>
        <v> </v>
      </c>
      <c r="J34" s="21"/>
      <c r="K34" s="21" t="str">
        <f>IF(G34="AGENTE",'Semana 1'!$J34+0.042,IF(G34="REDES",'Semana 1'!$J34+0.042,IF(G34="AGENTE RM",'Semana 1'!$J34+0.042,IF(G34="AGENTE APERTURA",'Semana 1'!$J34+0.021,IF(G34="AGENTE CIERRE",'Semana 1'!$J34+0.021," - ")))))</f>
        <v> - </v>
      </c>
      <c r="L34" s="21"/>
      <c r="M34" s="21" t="str">
        <f>IF(G34="AGENTE",'Semana 1'!$L34+0.014,IF(G34="REDES",'Semana 1'!$L34+0.014,IF(G34="AGENTE RM",'Semana 1'!$L34+0.014,IF(G34="AGENTE APERTURA",'Semana 1'!$L34+0.014,IF(G34="AGENTE CIERRE",'Semana 1'!$L34+0.014," - ")))))</f>
        <v> - </v>
      </c>
      <c r="N34" s="21"/>
      <c r="O34" s="21" t="str">
        <f>IF(G34="AGENTE",'Semana 1'!$N34+0.007,IF(G34="REDES",'Semana 1'!$N34+0.007,IF(G34="AGENTE RM",'Semana 1'!$N34+0.007,IF(G34="AGENTE APERTURA",'Semana 1'!$N34+0.007,IF(G34="AGENTE CIERRE",'Semana 1'!$N34+0.007," - ")))))</f>
        <v> - </v>
      </c>
      <c r="P34" s="22" t="str">
        <f t="shared" si="2"/>
        <v>-1.0</v>
      </c>
      <c r="Q34" s="21"/>
      <c r="R34" s="21" t="str">
        <f t="shared" ref="R34:R38" si="50">IF(Q34=0,"",Q34+0.209)</f>
        <v/>
      </c>
      <c r="S34" s="21"/>
      <c r="T34" s="21" t="str">
        <f t="shared" si="45"/>
        <v/>
      </c>
      <c r="U34" s="21"/>
      <c r="V34" s="21" t="str">
        <f t="shared" si="46"/>
        <v/>
      </c>
      <c r="W34" s="21"/>
      <c r="X34" s="21" t="str">
        <f t="shared" si="47"/>
        <v/>
      </c>
      <c r="Y34" s="22" t="str">
        <f t="shared" si="35"/>
        <v>0.0</v>
      </c>
      <c r="Z34" s="22" t="str">
        <f t="shared" ref="Z34:AC34" si="48">$P34</f>
        <v>-1.0</v>
      </c>
      <c r="AA34" s="22" t="str">
        <f t="shared" si="48"/>
        <v>-1.0</v>
      </c>
      <c r="AB34" s="22" t="str">
        <f t="shared" si="48"/>
        <v>-1.0</v>
      </c>
      <c r="AC34" s="22" t="str">
        <f t="shared" si="48"/>
        <v>-1.0</v>
      </c>
      <c r="AD34" s="23" t="str">
        <f t="shared" si="4"/>
        <v>-5</v>
      </c>
    </row>
    <row r="35" ht="15.75" customHeight="1">
      <c r="B35" s="18">
        <v>30.0</v>
      </c>
      <c r="C35" s="18" t="s">
        <v>38</v>
      </c>
      <c r="D35" s="19"/>
      <c r="E35" s="20" t="str">
        <f>Personal!G35</f>
        <v>Yoselin Delfina Lucas Juárez</v>
      </c>
      <c r="F35" s="20" t="s">
        <v>13</v>
      </c>
      <c r="G35" s="20" t="str">
        <f>Personal!H35</f>
        <v>REDES</v>
      </c>
      <c r="H35" s="24">
        <v>0.375</v>
      </c>
      <c r="I35" s="24" t="str">
        <f t="shared" si="49"/>
        <v>18:00</v>
      </c>
      <c r="J35" s="24">
        <v>0.5</v>
      </c>
      <c r="K35" s="24" t="str">
        <f>IF(G35="AGENTE",'Semana 1'!$J35+0.042,IF(G35="REDES",'Semana 1'!$J35+0.042,IF(G35="AGENTE RM",'Semana 1'!$J35+0.042,IF(G35="AGENTE APERTURA",'Semana 1'!$J35+0.021,IF(G35="AGENTE CIERRE",'Semana 1'!$J35+0.021," - ")))))</f>
        <v>13:00</v>
      </c>
      <c r="L35" s="24">
        <v>0.4444444444444444</v>
      </c>
      <c r="M35" s="24" t="str">
        <f>IF(G35="AGENTE",'Semana 1'!$L35+0.014,IF(G35="REDES",'Semana 1'!$L35+0.014,IF(G35="AGENTE RM",'Semana 1'!$L35+0.014,IF(G35="AGENTE APERTURA",'Semana 1'!$L35+0.014,IF(G35="AGENTE CIERRE",'Semana 1'!$L35+0.014," - ")))))</f>
        <v>11:00</v>
      </c>
      <c r="N35" s="24">
        <v>0.6666666666666666</v>
      </c>
      <c r="O35" s="24" t="str">
        <f>IF(G35="AGENTE",'Semana 1'!$N35+0.007,IF(G35="REDES",'Semana 1'!$N35+0.007,IF(G35="AGENTE RM",'Semana 1'!$N35+0.007,IF(G35="AGENTE APERTURA",'Semana 1'!$N35+0.007,IF(G35="AGENTE CIERRE",'Semana 1'!$N35+0.007," - ")))))</f>
        <v>16:10</v>
      </c>
      <c r="P35" s="25" t="str">
        <f t="shared" si="2"/>
        <v>8.0</v>
      </c>
      <c r="Q35" s="24">
        <v>0.4166666666666667</v>
      </c>
      <c r="R35" s="24" t="str">
        <f t="shared" si="50"/>
        <v>15:00</v>
      </c>
      <c r="S35" s="26"/>
      <c r="T35" s="26" t="str">
        <f t="shared" si="45"/>
        <v/>
      </c>
      <c r="U35" s="24">
        <v>0.5</v>
      </c>
      <c r="V35" s="24" t="str">
        <f t="shared" si="46"/>
        <v>12:14</v>
      </c>
      <c r="W35" s="26"/>
      <c r="X35" s="26" t="str">
        <f t="shared" si="47"/>
        <v/>
      </c>
      <c r="Y35" s="25" t="str">
        <f t="shared" si="35"/>
        <v>5.0</v>
      </c>
      <c r="Z35" s="25" t="str">
        <f t="shared" ref="Z35:AC35" si="51">$P35</f>
        <v>8.0</v>
      </c>
      <c r="AA35" s="25" t="str">
        <f t="shared" si="51"/>
        <v>8.0</v>
      </c>
      <c r="AB35" s="25" t="str">
        <f t="shared" si="51"/>
        <v>8.0</v>
      </c>
      <c r="AC35" s="25" t="str">
        <f t="shared" si="51"/>
        <v>8.0</v>
      </c>
      <c r="AD35" s="27" t="str">
        <f t="shared" si="4"/>
        <v>45</v>
      </c>
    </row>
    <row r="36" ht="15.75" customHeight="1">
      <c r="B36" s="18">
        <v>31.0</v>
      </c>
      <c r="C36" s="18" t="s">
        <v>38</v>
      </c>
      <c r="D36" s="19"/>
      <c r="E36" s="20" t="str">
        <f>Personal!G36</f>
        <v>Marleny Elizabeth Orozco Carrera</v>
      </c>
      <c r="F36" s="20" t="s">
        <v>13</v>
      </c>
      <c r="G36" s="20" t="str">
        <f>Personal!H36</f>
        <v>AGENTE</v>
      </c>
      <c r="H36" s="21">
        <v>0.3333333333333333</v>
      </c>
      <c r="I36" s="21" t="str">
        <f t="shared" si="49"/>
        <v>17:00</v>
      </c>
      <c r="J36" s="21">
        <v>0.5625</v>
      </c>
      <c r="K36" s="21" t="str">
        <f>IF(G36="AGENTE",'Semana 1'!$J36+0.042,IF(G36="REDES",'Semana 1'!$J36+0.042,IF(G36="AGENTE RM",'Semana 1'!$J36+0.042,IF(G36="AGENTE APERTURA",'Semana 1'!$J36+0.021,IF(G36="AGENTE CIERRE",'Semana 1'!$J36+0.021," - ")))))</f>
        <v>14:30</v>
      </c>
      <c r="L36" s="21">
        <v>0.34375</v>
      </c>
      <c r="M36" s="21" t="str">
        <f>IF(G36="AGENTE",'Semana 1'!$L36+0.014,IF(G36="REDES",'Semana 1'!$L36+0.014,IF(G36="AGENTE RM",'Semana 1'!$L36+0.014,IF(G36="AGENTE APERTURA",'Semana 1'!$L36+0.014,IF(G36="AGENTE CIERRE",'Semana 1'!$L36+0.014," - ")))))</f>
        <v>8:35</v>
      </c>
      <c r="N36" s="21">
        <v>0.6770833333333334</v>
      </c>
      <c r="O36" s="21" t="str">
        <f>IF(G36="AGENTE",'Semana 1'!$N36+0.007,IF(G36="REDES",'Semana 1'!$N36+0.007,IF(G36="AGENTE RM",'Semana 1'!$N36+0.007,IF(G36="AGENTE APERTURA",'Semana 1'!$N36+0.007,IF(G36="AGENTE CIERRE",'Semana 1'!$N36+0.007," - ")))))</f>
        <v>16:25</v>
      </c>
      <c r="P36" s="22" t="str">
        <f t="shared" si="2"/>
        <v>8.0</v>
      </c>
      <c r="Q36" s="21">
        <v>0.3541666666666667</v>
      </c>
      <c r="R36" s="21" t="str">
        <f t="shared" si="50"/>
        <v>13:30</v>
      </c>
      <c r="S36" s="28"/>
      <c r="T36" s="28"/>
      <c r="U36" s="21">
        <v>0.375</v>
      </c>
      <c r="V36" s="21" t="str">
        <f t="shared" ref="V36:V45" si="53">IF(U36=0,"",U36+0.021)</f>
        <v>9:30</v>
      </c>
      <c r="W36" s="28"/>
      <c r="X36" s="28"/>
      <c r="Y36" s="22" t="str">
        <f t="shared" si="35"/>
        <v>5.0</v>
      </c>
      <c r="Z36" s="22" t="str">
        <f t="shared" ref="Z36:AC36" si="52">$P36</f>
        <v>8.0</v>
      </c>
      <c r="AA36" s="22" t="str">
        <f t="shared" si="52"/>
        <v>8.0</v>
      </c>
      <c r="AB36" s="22" t="str">
        <f t="shared" si="52"/>
        <v>8.0</v>
      </c>
      <c r="AC36" s="22" t="str">
        <f t="shared" si="52"/>
        <v>8.0</v>
      </c>
      <c r="AD36" s="23" t="str">
        <f t="shared" si="4"/>
        <v>45</v>
      </c>
    </row>
    <row r="37" ht="15.75" customHeight="1">
      <c r="B37" s="18">
        <v>32.0</v>
      </c>
      <c r="C37" s="18" t="s">
        <v>38</v>
      </c>
      <c r="D37" s="19"/>
      <c r="E37" s="20" t="str">
        <f>Personal!G37</f>
        <v>Cristian Eduardo Xiloj Zamor</v>
      </c>
      <c r="F37" s="20" t="s">
        <v>13</v>
      </c>
      <c r="G37" s="20" t="str">
        <f>Personal!H37</f>
        <v>AGENTE RM</v>
      </c>
      <c r="H37" s="24">
        <v>0.2916666666666667</v>
      </c>
      <c r="I37" s="24" t="str">
        <f t="shared" si="49"/>
        <v>16:00</v>
      </c>
      <c r="J37" s="24">
        <v>0.5</v>
      </c>
      <c r="K37" s="24" t="str">
        <f>IF(G37="AGENTE",'Semana 1'!$J37+0.042,IF(G37="REDES",'Semana 1'!$J37+0.042,IF(G37="AGENTE RM",'Semana 1'!$J37+0.042,IF(G37="AGENTE APERTURA",'Semana 1'!$J37+0.021,IF(G37="AGENTE CIERRE",'Semana 1'!$J37+0.021," - ")))))</f>
        <v>13:00</v>
      </c>
      <c r="L37" s="24">
        <v>0.3333333333333333</v>
      </c>
      <c r="M37" s="24" t="str">
        <f>IF(G37="AGENTE",'Semana 1'!$L37+0.014,IF(G37="REDES",'Semana 1'!$L37+0.014,IF(G37="AGENTE RM",'Semana 1'!$L37+0.014,IF(G37="AGENTE APERTURA",'Semana 1'!$L37+0.014,IF(G37="AGENTE CIERRE",'Semana 1'!$L37+0.014," - ")))))</f>
        <v>8:20</v>
      </c>
      <c r="N37" s="24">
        <v>0.59375</v>
      </c>
      <c r="O37" s="24" t="str">
        <f>IF(G37="AGENTE",'Semana 1'!$N37+0.007,IF(G37="REDES",'Semana 1'!$N37+0.007,IF(G37="AGENTE RM",'Semana 1'!$N37+0.007,IF(G37="AGENTE APERTURA",'Semana 1'!$N37+0.007,IF(G37="AGENTE CIERRE",'Semana 1'!$N37+0.007," - ")))))</f>
        <v>14:25</v>
      </c>
      <c r="P37" s="25" t="str">
        <f t="shared" si="2"/>
        <v>8.0</v>
      </c>
      <c r="Q37" s="24">
        <v>0.2916666666666667</v>
      </c>
      <c r="R37" s="24" t="str">
        <f t="shared" si="50"/>
        <v>12:00</v>
      </c>
      <c r="S37" s="26"/>
      <c r="T37" s="26"/>
      <c r="U37" s="24">
        <v>0.3541666666666667</v>
      </c>
      <c r="V37" s="24" t="str">
        <f t="shared" si="53"/>
        <v>9:00</v>
      </c>
      <c r="W37" s="26"/>
      <c r="X37" s="26"/>
      <c r="Y37" s="25" t="str">
        <f t="shared" si="35"/>
        <v>5.0</v>
      </c>
      <c r="Z37" s="25" t="str">
        <f t="shared" ref="Z37:AC37" si="54">$P37</f>
        <v>8.0</v>
      </c>
      <c r="AA37" s="25" t="str">
        <f t="shared" si="54"/>
        <v>8.0</v>
      </c>
      <c r="AB37" s="25" t="str">
        <f t="shared" si="54"/>
        <v>8.0</v>
      </c>
      <c r="AC37" s="25" t="str">
        <f t="shared" si="54"/>
        <v>8.0</v>
      </c>
      <c r="AD37" s="27" t="str">
        <f t="shared" si="4"/>
        <v>45</v>
      </c>
    </row>
    <row r="38" ht="15.75" customHeight="1">
      <c r="B38" s="18">
        <v>33.0</v>
      </c>
      <c r="C38" s="18" t="s">
        <v>39</v>
      </c>
      <c r="D38" s="19"/>
      <c r="E38" s="20" t="str">
        <f>Personal!G38</f>
        <v>-</v>
      </c>
      <c r="F38" s="20" t="s">
        <v>13</v>
      </c>
      <c r="G38" s="20" t="str">
        <f>Personal!H38</f>
        <v>-</v>
      </c>
      <c r="H38" s="21"/>
      <c r="I38" s="21" t="str">
        <f t="shared" si="49"/>
        <v> </v>
      </c>
      <c r="J38" s="21"/>
      <c r="K38" s="21" t="str">
        <f>IF(G38="AGENTE",'Semana 1'!$J38+0.042,IF(G38="REDES",'Semana 1'!$J38+0.042,IF(G38="AGENTE RM",'Semana 1'!$J38+0.042,IF(G38="AGENTE APERTURA",'Semana 1'!$J38+0.021,IF(G38="AGENTE CIERRE",'Semana 1'!$J38+0.021," - ")))))</f>
        <v> - </v>
      </c>
      <c r="L38" s="21"/>
      <c r="M38" s="21" t="str">
        <f>IF(G38="AGENTE",'Semana 1'!$L38+0.014,IF(G38="REDES",'Semana 1'!$L38+0.014,IF(G38="AGENTE RM",'Semana 1'!$L38+0.014,IF(G38="AGENTE APERTURA",'Semana 1'!$L38+0.014,IF(G38="AGENTE CIERRE",'Semana 1'!$L38+0.014," - ")))))</f>
        <v> - </v>
      </c>
      <c r="N38" s="21"/>
      <c r="O38" s="21" t="str">
        <f>IF(G38="AGENTE",'Semana 1'!$N38+0.007,IF(G38="REDES",'Semana 1'!$N38+0.007,IF(G38="AGENTE RM",'Semana 1'!$N38+0.007,IF(G38="AGENTE APERTURA",'Semana 1'!$N38+0.007,IF(G38="AGENTE CIERRE",'Semana 1'!$N38+0.007," - ")))))</f>
        <v> - </v>
      </c>
      <c r="P38" s="22" t="str">
        <f t="shared" si="2"/>
        <v>-1.0</v>
      </c>
      <c r="Q38" s="21"/>
      <c r="R38" s="21" t="str">
        <f t="shared" si="50"/>
        <v/>
      </c>
      <c r="S38" s="21"/>
      <c r="T38" s="21"/>
      <c r="U38" s="21"/>
      <c r="V38" s="21" t="str">
        <f t="shared" si="53"/>
        <v/>
      </c>
      <c r="W38" s="21"/>
      <c r="X38" s="21"/>
      <c r="Y38" s="22" t="str">
        <f t="shared" si="35"/>
        <v>0.0</v>
      </c>
      <c r="Z38" s="22" t="str">
        <f t="shared" ref="Z38:AC38" si="55">$P38</f>
        <v>-1.0</v>
      </c>
      <c r="AA38" s="22" t="str">
        <f t="shared" si="55"/>
        <v>-1.0</v>
      </c>
      <c r="AB38" s="22" t="str">
        <f t="shared" si="55"/>
        <v>-1.0</v>
      </c>
      <c r="AC38" s="22" t="str">
        <f t="shared" si="55"/>
        <v>-1.0</v>
      </c>
      <c r="AD38" s="23" t="str">
        <f t="shared" si="4"/>
        <v>-5</v>
      </c>
    </row>
    <row r="39" ht="15.75" customHeight="1">
      <c r="B39" s="18">
        <v>34.0</v>
      </c>
      <c r="C39" s="18" t="s">
        <v>38</v>
      </c>
      <c r="D39" s="19"/>
      <c r="E39" s="20" t="str">
        <f>Personal!G39</f>
        <v>Diego Leonardo Patzan Patzan</v>
      </c>
      <c r="F39" s="20" t="s">
        <v>13</v>
      </c>
      <c r="G39" s="20" t="str">
        <f>Personal!H39</f>
        <v>AGENTE</v>
      </c>
      <c r="H39" s="24">
        <v>0.3333333333333333</v>
      </c>
      <c r="I39" s="24">
        <v>0.6875</v>
      </c>
      <c r="J39" s="24">
        <v>0.5</v>
      </c>
      <c r="K39" s="24" t="str">
        <f>IF(G39="AGENTE",'Semana 1'!$J39+0.042,IF(G39="REDES",'Semana 1'!$J39+0.042,IF(G39="AGENTE RM",'Semana 1'!$J39+0.042,IF(G39="AGENTE APERTURA",'Semana 1'!$J39+0.021,IF(G39="AGENTE CIERRE",'Semana 1'!$J39+0.021," - ")))))</f>
        <v>13:00</v>
      </c>
      <c r="L39" s="24">
        <v>0.3541666666666667</v>
      </c>
      <c r="M39" s="24" t="str">
        <f>IF(G39="AGENTE",'Semana 1'!$L39+0.014,IF(G39="REDES",'Semana 1'!$L39+0.014,IF(G39="AGENTE RM",'Semana 1'!$L39+0.014,IF(G39="AGENTE APERTURA",'Semana 1'!$L39+0.014,IF(G39="AGENTE CIERRE",'Semana 1'!$L39+0.014," - ")))))</f>
        <v>8:50</v>
      </c>
      <c r="N39" s="24">
        <v>0.14583333333333334</v>
      </c>
      <c r="O39" s="24" t="str">
        <f>IF(G39="AGENTE",'Semana 1'!$N39+0.007,IF(G39="REDES",'Semana 1'!$N39+0.007,IF(G39="AGENTE RM",'Semana 1'!$N39+0.007,IF(G39="AGENTE APERTURA",'Semana 1'!$N39+0.007,IF(G39="AGENTE CIERRE",'Semana 1'!$N39+0.007," - ")))))</f>
        <v>3:40</v>
      </c>
      <c r="P39" s="25" t="str">
        <f t="shared" si="2"/>
        <v>7.5</v>
      </c>
      <c r="Q39" s="24">
        <v>0.3541666666666667</v>
      </c>
      <c r="R39" s="24">
        <v>0.6666666666666666</v>
      </c>
      <c r="S39" s="26"/>
      <c r="T39" s="26"/>
      <c r="U39" s="24">
        <v>0.5416666666666666</v>
      </c>
      <c r="V39" s="24" t="str">
        <f t="shared" si="53"/>
        <v>13:30</v>
      </c>
      <c r="W39" s="26"/>
      <c r="X39" s="26"/>
      <c r="Y39" s="25" t="str">
        <f t="shared" si="35"/>
        <v>7.5</v>
      </c>
      <c r="Z39" s="25" t="str">
        <f t="shared" ref="Z39:AC39" si="56">$P39</f>
        <v>7.5</v>
      </c>
      <c r="AA39" s="25" t="str">
        <f t="shared" si="56"/>
        <v>7.5</v>
      </c>
      <c r="AB39" s="25" t="str">
        <f t="shared" si="56"/>
        <v>7.5</v>
      </c>
      <c r="AC39" s="25" t="str">
        <f t="shared" si="56"/>
        <v>7.5</v>
      </c>
      <c r="AD39" s="27" t="str">
        <f t="shared" si="4"/>
        <v>45</v>
      </c>
    </row>
    <row r="40" ht="15.75" customHeight="1">
      <c r="B40" s="18">
        <v>35.0</v>
      </c>
      <c r="C40" s="18" t="s">
        <v>38</v>
      </c>
      <c r="D40" s="19"/>
      <c r="E40" s="20" t="str">
        <f>Personal!G40</f>
        <v>Erick Gabriel Velasquez Marroquin</v>
      </c>
      <c r="F40" s="20" t="s">
        <v>13</v>
      </c>
      <c r="G40" s="20" t="str">
        <f>Personal!H40</f>
        <v>AGENTE</v>
      </c>
      <c r="H40" s="21">
        <v>0.375</v>
      </c>
      <c r="I40" s="21" t="str">
        <f t="shared" ref="I40:I53" si="58">IF(H40=0," ",IF(Q40=0,(H40+0.417),(H40+0.3756)))</f>
        <v>18:00</v>
      </c>
      <c r="J40" s="21">
        <v>0.5416666666666666</v>
      </c>
      <c r="K40" s="21" t="str">
        <f>IF(G40="AGENTE",'Semana 1'!$J40+0.042,IF(G40="REDES",'Semana 1'!$J40+0.042,IF(G40="AGENTE RM",'Semana 1'!$J40+0.042,IF(G40="AGENTE APERTURA",'Semana 1'!$J40+0.021,IF(G40="AGENTE CIERRE",'Semana 1'!$J40+0.021," - ")))))</f>
        <v>14:00</v>
      </c>
      <c r="L40" s="21">
        <v>0.2916666666666667</v>
      </c>
      <c r="M40" s="21" t="str">
        <f>IF(G40="AGENTE",'Semana 1'!$L40+0.014,IF(G40="REDES",'Semana 1'!$L40+0.014,IF(G40="AGENTE RM",'Semana 1'!$L40+0.014,IF(G40="AGENTE APERTURA",'Semana 1'!$L40+0.014,IF(G40="AGENTE CIERRE",'Semana 1'!$L40+0.014," - ")))))</f>
        <v>7:20</v>
      </c>
      <c r="N40" s="21">
        <v>0.6770833333333334</v>
      </c>
      <c r="O40" s="21" t="str">
        <f>IF(G40="AGENTE",'Semana 1'!$N40+0.007,IF(G40="REDES",'Semana 1'!$N40+0.007,IF(G40="AGENTE RM",'Semana 1'!$N40+0.007,IF(G40="AGENTE APERTURA",'Semana 1'!$N40+0.007,IF(G40="AGENTE CIERRE",'Semana 1'!$N40+0.007," - ")))))</f>
        <v>16:25</v>
      </c>
      <c r="P40" s="22" t="str">
        <f t="shared" si="2"/>
        <v>8.0</v>
      </c>
      <c r="Q40" s="21">
        <v>0.375</v>
      </c>
      <c r="R40" s="21" t="str">
        <f t="shared" ref="R40:R53" si="59">IF(Q40=0,"",Q40+0.209)</f>
        <v>14:00</v>
      </c>
      <c r="S40" s="28"/>
      <c r="T40" s="28" t="str">
        <f>IF(S40=0,"",S40+0.041)</f>
        <v/>
      </c>
      <c r="U40" s="21">
        <v>0.5625</v>
      </c>
      <c r="V40" s="21" t="str">
        <f t="shared" si="53"/>
        <v>14:00</v>
      </c>
      <c r="W40" s="28"/>
      <c r="X40" s="28" t="str">
        <f>IF(W40=0,"",W40+0.01)</f>
        <v/>
      </c>
      <c r="Y40" s="22" t="str">
        <f t="shared" si="35"/>
        <v>5.0</v>
      </c>
      <c r="Z40" s="22" t="str">
        <f t="shared" ref="Z40:AC40" si="57">$P40</f>
        <v>8.0</v>
      </c>
      <c r="AA40" s="22" t="str">
        <f t="shared" si="57"/>
        <v>8.0</v>
      </c>
      <c r="AB40" s="22" t="str">
        <f t="shared" si="57"/>
        <v>8.0</v>
      </c>
      <c r="AC40" s="22" t="str">
        <f t="shared" si="57"/>
        <v>8.0</v>
      </c>
      <c r="AD40" s="23" t="str">
        <f t="shared" si="4"/>
        <v>45</v>
      </c>
    </row>
    <row r="41" ht="15.75" customHeight="1">
      <c r="B41" s="18">
        <v>36.0</v>
      </c>
      <c r="C41" s="18" t="s">
        <v>38</v>
      </c>
      <c r="D41" s="19"/>
      <c r="E41" s="20" t="str">
        <f>Personal!G41</f>
        <v>Catherine Patricia Castillo Monzon </v>
      </c>
      <c r="F41" s="20" t="s">
        <v>13</v>
      </c>
      <c r="G41" s="20" t="str">
        <f>Personal!H41</f>
        <v>AGENTE</v>
      </c>
      <c r="H41" s="24">
        <v>0.3333333333333333</v>
      </c>
      <c r="I41" s="24" t="str">
        <f t="shared" si="58"/>
        <v>17:00</v>
      </c>
      <c r="J41" s="24">
        <v>0.5416666666666666</v>
      </c>
      <c r="K41" s="24" t="str">
        <f>IF(G41="AGENTE",'Semana 1'!$J41+0.042,IF(G41="REDES",'Semana 1'!$J41+0.042,IF(G41="AGENTE RM",'Semana 1'!$J41+0.042,IF(G41="AGENTE APERTURA",'Semana 1'!$J41+0.021,IF(G41="AGENTE CIERRE",'Semana 1'!$J41+0.021," - ")))))</f>
        <v>14:00</v>
      </c>
      <c r="L41" s="24">
        <v>0.3958333333333333</v>
      </c>
      <c r="M41" s="24" t="str">
        <f>IF(G41="AGENTE",'Semana 1'!$L41+0.014,IF(G41="REDES",'Semana 1'!$L41+0.014,IF(G41="AGENTE RM",'Semana 1'!$L41+0.014,IF(G41="AGENTE APERTURA",'Semana 1'!$L41+0.014,IF(G41="AGENTE CIERRE",'Semana 1'!$L41+0.014," - ")))))</f>
        <v>9:50</v>
      </c>
      <c r="N41" s="24">
        <v>0.6979166666666666</v>
      </c>
      <c r="O41" s="24" t="str">
        <f>IF(G41="AGENTE",'Semana 1'!$N41+0.007,IF(G41="REDES",'Semana 1'!$N41+0.007,IF(G41="AGENTE RM",'Semana 1'!$N41+0.007,IF(G41="AGENTE APERTURA",'Semana 1'!$N41+0.007,IF(G41="AGENTE CIERRE",'Semana 1'!$N41+0.007," - ")))))</f>
        <v>16:55</v>
      </c>
      <c r="P41" s="25" t="str">
        <f t="shared" si="2"/>
        <v>8.0</v>
      </c>
      <c r="Q41" s="24">
        <v>0.3333333333333333</v>
      </c>
      <c r="R41" s="24" t="str">
        <f t="shared" si="59"/>
        <v>13:00</v>
      </c>
      <c r="S41" s="26"/>
      <c r="T41" s="26"/>
      <c r="U41" s="24">
        <v>0.4375</v>
      </c>
      <c r="V41" s="24" t="str">
        <f t="shared" si="53"/>
        <v>11:00</v>
      </c>
      <c r="W41" s="26"/>
      <c r="X41" s="26"/>
      <c r="Y41" s="25" t="str">
        <f t="shared" si="35"/>
        <v>5.0</v>
      </c>
      <c r="Z41" s="25" t="str">
        <f t="shared" ref="Z41:AC41" si="60">$P41</f>
        <v>8.0</v>
      </c>
      <c r="AA41" s="25" t="str">
        <f t="shared" si="60"/>
        <v>8.0</v>
      </c>
      <c r="AB41" s="25" t="str">
        <f t="shared" si="60"/>
        <v>8.0</v>
      </c>
      <c r="AC41" s="25" t="str">
        <f t="shared" si="60"/>
        <v>8.0</v>
      </c>
      <c r="AD41" s="27" t="str">
        <f t="shared" si="4"/>
        <v>45</v>
      </c>
    </row>
    <row r="42" ht="15.75" customHeight="1">
      <c r="B42" s="18">
        <v>37.0</v>
      </c>
      <c r="C42" s="18" t="s">
        <v>38</v>
      </c>
      <c r="D42" s="19"/>
      <c r="E42" s="20" t="str">
        <f>Personal!G42</f>
        <v>Yandira Yaneth Balcarcel Perez</v>
      </c>
      <c r="F42" s="20" t="s">
        <v>13</v>
      </c>
      <c r="G42" s="20" t="str">
        <f>Personal!H42</f>
        <v>CONTROL</v>
      </c>
      <c r="H42" s="21"/>
      <c r="I42" s="21" t="str">
        <f t="shared" si="58"/>
        <v> </v>
      </c>
      <c r="J42" s="21"/>
      <c r="K42" s="21" t="str">
        <f>IF(G42="AGENTE",'Semana 1'!$J42+0.042,IF(G42="REDES",'Semana 1'!$J42+0.042,IF(G42="AGENTE RM",'Semana 1'!$J42+0.042,IF(G42="AGENTE APERTURA",'Semana 1'!$J42+0.021,IF(G42="AGENTE CIERRE",'Semana 1'!$J42+0.021," - ")))))</f>
        <v> - </v>
      </c>
      <c r="L42" s="21"/>
      <c r="M42" s="21" t="str">
        <f>IF(G42="AGENTE",'Semana 1'!$L42+0.014,IF(G42="REDES",'Semana 1'!$L42+0.014,IF(G42="AGENTE RM",'Semana 1'!$L42+0.014,IF(G42="AGENTE APERTURA",'Semana 1'!$L42+0.014,IF(G42="AGENTE CIERRE",'Semana 1'!$L42+0.014," - ")))))</f>
        <v> - </v>
      </c>
      <c r="N42" s="21"/>
      <c r="O42" s="21" t="str">
        <f>IF(G42="AGENTE",'Semana 1'!$N42+0.007,IF(G42="REDES",'Semana 1'!$N42+0.007,IF(G42="AGENTE RM",'Semana 1'!$N42+0.007,IF(G42="AGENTE APERTURA",'Semana 1'!$N42+0.007,IF(G42="AGENTE CIERRE",'Semana 1'!$N42+0.007," - ")))))</f>
        <v> - </v>
      </c>
      <c r="P42" s="22" t="str">
        <f t="shared" si="2"/>
        <v>-1.0</v>
      </c>
      <c r="Q42" s="21"/>
      <c r="R42" s="21" t="str">
        <f t="shared" si="59"/>
        <v/>
      </c>
      <c r="S42" s="28"/>
      <c r="T42" s="28"/>
      <c r="U42" s="21"/>
      <c r="V42" s="21" t="str">
        <f t="shared" si="53"/>
        <v/>
      </c>
      <c r="W42" s="28"/>
      <c r="X42" s="28"/>
      <c r="Y42" s="22" t="str">
        <f t="shared" si="35"/>
        <v>0.0</v>
      </c>
      <c r="Z42" s="22" t="str">
        <f t="shared" ref="Z42:AC42" si="61">$P42</f>
        <v>-1.0</v>
      </c>
      <c r="AA42" s="22" t="str">
        <f t="shared" si="61"/>
        <v>-1.0</v>
      </c>
      <c r="AB42" s="22" t="str">
        <f t="shared" si="61"/>
        <v>-1.0</v>
      </c>
      <c r="AC42" s="22" t="str">
        <f t="shared" si="61"/>
        <v>-1.0</v>
      </c>
      <c r="AD42" s="23" t="str">
        <f t="shared" si="4"/>
        <v>-5</v>
      </c>
    </row>
    <row r="43" ht="15.75" customHeight="1">
      <c r="B43" s="18">
        <v>38.0</v>
      </c>
      <c r="C43" s="18" t="s">
        <v>38</v>
      </c>
      <c r="D43" s="19"/>
      <c r="E43" s="20" t="str">
        <f>Personal!G43</f>
        <v>Laura Lucia Rabanales Oliva</v>
      </c>
      <c r="F43" s="20" t="s">
        <v>13</v>
      </c>
      <c r="G43" s="20" t="str">
        <f>Personal!H43</f>
        <v>AGENTE RM</v>
      </c>
      <c r="H43" s="24">
        <v>0.2708333333333333</v>
      </c>
      <c r="I43" s="24" t="str">
        <f t="shared" si="58"/>
        <v>15:30</v>
      </c>
      <c r="J43" s="24">
        <v>0.5</v>
      </c>
      <c r="K43" s="24" t="str">
        <f>IF(G43="AGENTE",'Semana 1'!$J43+0.042,IF(G43="REDES",'Semana 1'!$J43+0.042,IF(G43="AGENTE RM",'Semana 1'!$J43+0.042,IF(G43="AGENTE APERTURA",'Semana 1'!$J43+0.021,IF(G43="AGENTE CIERRE",'Semana 1'!$J43+0.021," - ")))))</f>
        <v>13:00</v>
      </c>
      <c r="L43" s="24">
        <v>0.3611111111111111</v>
      </c>
      <c r="M43" s="24" t="str">
        <f>IF(G43="AGENTE",'Semana 1'!$L43+0.014,IF(G43="REDES",'Semana 1'!$L43+0.014,IF(G43="AGENTE RM",'Semana 1'!$L43+0.014,IF(G43="AGENTE APERTURA",'Semana 1'!$L43+0.014,IF(G43="AGENTE CIERRE",'Semana 1'!$L43+0.014," - ")))))</f>
        <v>9:00</v>
      </c>
      <c r="N43" s="24">
        <v>0.5833333333333334</v>
      </c>
      <c r="O43" s="24" t="str">
        <f>IF(G43="AGENTE",'Semana 1'!$N43+0.007,IF(G43="REDES",'Semana 1'!$N43+0.007,IF(G43="AGENTE RM",'Semana 1'!$N43+0.007,IF(G43="AGENTE APERTURA",'Semana 1'!$N43+0.007,IF(G43="AGENTE CIERRE",'Semana 1'!$N43+0.007," - ")))))</f>
        <v>14:10</v>
      </c>
      <c r="P43" s="25" t="str">
        <f t="shared" si="2"/>
        <v>8.0</v>
      </c>
      <c r="Q43" s="24">
        <v>0.2708333333333333</v>
      </c>
      <c r="R43" s="24" t="str">
        <f t="shared" si="59"/>
        <v>11:30</v>
      </c>
      <c r="S43" s="26"/>
      <c r="T43" s="26"/>
      <c r="U43" s="24">
        <v>0.3333333333333333</v>
      </c>
      <c r="V43" s="24" t="str">
        <f t="shared" si="53"/>
        <v>8:30</v>
      </c>
      <c r="W43" s="26"/>
      <c r="X43" s="26"/>
      <c r="Y43" s="25" t="str">
        <f t="shared" si="35"/>
        <v>5.0</v>
      </c>
      <c r="Z43" s="25" t="str">
        <f t="shared" ref="Z43:AC43" si="62">$P43</f>
        <v>8.0</v>
      </c>
      <c r="AA43" s="25" t="str">
        <f t="shared" si="62"/>
        <v>8.0</v>
      </c>
      <c r="AB43" s="25" t="str">
        <f t="shared" si="62"/>
        <v>8.0</v>
      </c>
      <c r="AC43" s="25" t="str">
        <f t="shared" si="62"/>
        <v>8.0</v>
      </c>
      <c r="AD43" s="27" t="str">
        <f t="shared" si="4"/>
        <v>45</v>
      </c>
    </row>
    <row r="44" ht="15.75" customHeight="1">
      <c r="B44" s="18">
        <v>41.0</v>
      </c>
      <c r="C44" s="18" t="s">
        <v>38</v>
      </c>
      <c r="D44" s="19"/>
      <c r="E44" s="20" t="str">
        <f>Personal!G44</f>
        <v>Lilian Josefina Ramirez Estrada</v>
      </c>
      <c r="F44" s="20" t="s">
        <v>13</v>
      </c>
      <c r="G44" s="20" t="str">
        <f>Personal!H44</f>
        <v>SUPERVISORA</v>
      </c>
      <c r="H44" s="21"/>
      <c r="I44" s="21" t="str">
        <f t="shared" si="58"/>
        <v> </v>
      </c>
      <c r="J44" s="21"/>
      <c r="K44" s="21" t="str">
        <f>IF(G44="AGENTE",'Semana 1'!$J44+0.042,IF(G44="REDES",'Semana 1'!$J44+0.042,IF(G44="AGENTE RM",'Semana 1'!$J44+0.042,IF(G44="AGENTE APERTURA",'Semana 1'!$J44+0.021,IF(G44="AGENTE CIERRE",'Semana 1'!$J44+0.021," - ")))))</f>
        <v> - </v>
      </c>
      <c r="L44" s="21"/>
      <c r="M44" s="21" t="str">
        <f>IF(G44="AGENTE",'Semana 1'!$L44+0.014,IF(G44="REDES",'Semana 1'!$L44+0.014,IF(G44="AGENTE RM",'Semana 1'!$L44+0.014,IF(G44="AGENTE APERTURA",'Semana 1'!$L44+0.014,IF(G44="AGENTE CIERRE",'Semana 1'!$L44+0.014," - ")))))</f>
        <v> - </v>
      </c>
      <c r="N44" s="21"/>
      <c r="O44" s="21" t="str">
        <f>IF(G44="AGENTE",'Semana 1'!$N44+0.007,IF(G44="REDES",'Semana 1'!$N44+0.007,IF(G44="AGENTE RM",'Semana 1'!$N44+0.007,IF(G44="AGENTE APERTURA",'Semana 1'!$N44+0.007,IF(G44="AGENTE CIERRE",'Semana 1'!$N44+0.007," - ")))))</f>
        <v> - </v>
      </c>
      <c r="P44" s="22" t="str">
        <f t="shared" si="2"/>
        <v>-1.0</v>
      </c>
      <c r="Q44" s="21"/>
      <c r="R44" s="21" t="str">
        <f t="shared" si="59"/>
        <v/>
      </c>
      <c r="S44" s="21"/>
      <c r="T44" s="21"/>
      <c r="U44" s="21"/>
      <c r="V44" s="21" t="str">
        <f t="shared" si="53"/>
        <v/>
      </c>
      <c r="W44" s="21"/>
      <c r="X44" s="21"/>
      <c r="Y44" s="22" t="str">
        <f t="shared" si="35"/>
        <v>0.0</v>
      </c>
      <c r="Z44" s="22" t="str">
        <f t="shared" ref="Z44:AC44" si="63">$P44</f>
        <v>-1.0</v>
      </c>
      <c r="AA44" s="22" t="str">
        <f t="shared" si="63"/>
        <v>-1.0</v>
      </c>
      <c r="AB44" s="22" t="str">
        <f t="shared" si="63"/>
        <v>-1.0</v>
      </c>
      <c r="AC44" s="22" t="str">
        <f t="shared" si="63"/>
        <v>-1.0</v>
      </c>
      <c r="AD44" s="23" t="str">
        <f t="shared" si="4"/>
        <v>-5</v>
      </c>
    </row>
    <row r="45" ht="15.75" customHeight="1">
      <c r="B45" s="18">
        <v>42.0</v>
      </c>
      <c r="C45" s="18" t="s">
        <v>38</v>
      </c>
      <c r="D45" s="19"/>
      <c r="E45" s="20" t="str">
        <f>Personal!G45</f>
        <v>Wilson Saúl Gómez Mendoza</v>
      </c>
      <c r="F45" s="20" t="s">
        <v>13</v>
      </c>
      <c r="G45" s="20" t="str">
        <f>Personal!H45</f>
        <v>CONTROL</v>
      </c>
      <c r="H45" s="24"/>
      <c r="I45" s="24" t="str">
        <f t="shared" si="58"/>
        <v> </v>
      </c>
      <c r="J45" s="24"/>
      <c r="K45" s="24" t="str">
        <f>IF(G45="AGENTE",'Semana 1'!$J45+0.042,IF(G45="REDES",'Semana 1'!$J45+0.042,IF(G45="AGENTE RM",'Semana 1'!$J45+0.042,IF(G45="AGENTE APERTURA",'Semana 1'!$J45+0.021,IF(G45="AGENTE CIERRE",'Semana 1'!$J45+0.021," - ")))))</f>
        <v> - </v>
      </c>
      <c r="L45" s="24"/>
      <c r="M45" s="24" t="str">
        <f>IF(G45="AGENTE",'Semana 1'!$L45+0.014,IF(G45="REDES",'Semana 1'!$L45+0.014,IF(G45="AGENTE RM",'Semana 1'!$L45+0.014,IF(G45="AGENTE APERTURA",'Semana 1'!$L45+0.014,IF(G45="AGENTE CIERRE",'Semana 1'!$L45+0.014," - ")))))</f>
        <v> - </v>
      </c>
      <c r="N45" s="24"/>
      <c r="O45" s="24" t="str">
        <f>IF(G45="AGENTE",'Semana 1'!$N45+0.007,IF(G45="REDES",'Semana 1'!$N45+0.007,IF(G45="AGENTE RM",'Semana 1'!$N45+0.007,IF(G45="AGENTE APERTURA",'Semana 1'!$N45+0.007,IF(G45="AGENTE CIERRE",'Semana 1'!$N45+0.007," - ")))))</f>
        <v> - </v>
      </c>
      <c r="P45" s="25" t="str">
        <f t="shared" si="2"/>
        <v>-1.0</v>
      </c>
      <c r="Q45" s="24"/>
      <c r="R45" s="24" t="str">
        <f t="shared" si="59"/>
        <v/>
      </c>
      <c r="S45" s="26"/>
      <c r="T45" s="26"/>
      <c r="U45" s="24"/>
      <c r="V45" s="24" t="str">
        <f t="shared" si="53"/>
        <v/>
      </c>
      <c r="W45" s="26"/>
      <c r="X45" s="26"/>
      <c r="Y45" s="25" t="str">
        <f t="shared" si="35"/>
        <v>0.0</v>
      </c>
      <c r="Z45" s="25" t="str">
        <f t="shared" ref="Z45:AC45" si="64">$P45</f>
        <v>-1.0</v>
      </c>
      <c r="AA45" s="25" t="str">
        <f t="shared" si="64"/>
        <v>-1.0</v>
      </c>
      <c r="AB45" s="25" t="str">
        <f t="shared" si="64"/>
        <v>-1.0</v>
      </c>
      <c r="AC45" s="25" t="str">
        <f t="shared" si="64"/>
        <v>-1.0</v>
      </c>
      <c r="AD45" s="27" t="str">
        <f t="shared" si="4"/>
        <v>-5</v>
      </c>
    </row>
    <row r="46" ht="15.75" customHeight="1">
      <c r="B46" s="18">
        <v>43.0</v>
      </c>
      <c r="C46" s="18" t="s">
        <v>38</v>
      </c>
      <c r="D46" s="19"/>
      <c r="E46" s="20" t="str">
        <f>Personal!G46</f>
        <v>Carmen Yanira Brán Oliva</v>
      </c>
      <c r="F46" s="20" t="s">
        <v>13</v>
      </c>
      <c r="G46" s="20" t="str">
        <f>Personal!H46</f>
        <v>CAPACITACION</v>
      </c>
      <c r="H46" s="21"/>
      <c r="I46" s="21" t="str">
        <f t="shared" si="58"/>
        <v> </v>
      </c>
      <c r="J46" s="21"/>
      <c r="K46" s="21" t="str">
        <f>IF(G46="AGENTE",'Semana 1'!$J46+0.042,IF(G46="REDES",'Semana 1'!$J46+0.042,IF(G46="AGENTE RM",'Semana 1'!$J46+0.042,IF(G46="AGENTE APERTURA",'Semana 1'!$J46+0.021,IF(G46="AGENTE CIERRE",'Semana 1'!$J46+0.021," - ")))))</f>
        <v> - </v>
      </c>
      <c r="L46" s="21"/>
      <c r="M46" s="21" t="str">
        <f>IF(G46="AGENTE",'Semana 1'!$L46+0.014,IF(G46="REDES",'Semana 1'!$L46+0.014,IF(G46="AGENTE RM",'Semana 1'!$L46+0.014,IF(G46="AGENTE APERTURA",'Semana 1'!$L46+0.014,IF(G46="AGENTE CIERRE",'Semana 1'!$L46+0.014," - ")))))</f>
        <v> - </v>
      </c>
      <c r="N46" s="21"/>
      <c r="O46" s="21" t="str">
        <f>IF(G46="AGENTE",'Semana 1'!$N46+0.007,IF(G46="REDES",'Semana 1'!$N46+0.007,IF(G46="AGENTE RM",'Semana 1'!$N46+0.007,IF(G46="AGENTE APERTURA",'Semana 1'!$N46+0.007,IF(G46="AGENTE CIERRE",'Semana 1'!$N46+0.007," - ")))))</f>
        <v> - </v>
      </c>
      <c r="P46" s="22" t="str">
        <f t="shared" si="2"/>
        <v>-1.0</v>
      </c>
      <c r="Q46" s="21"/>
      <c r="R46" s="21" t="str">
        <f t="shared" si="59"/>
        <v/>
      </c>
      <c r="S46" s="28"/>
      <c r="T46" s="28"/>
      <c r="U46" s="21"/>
      <c r="V46" s="21"/>
      <c r="W46" s="28"/>
      <c r="X46" s="28"/>
      <c r="Y46" s="22" t="str">
        <f t="shared" si="35"/>
        <v>0.0</v>
      </c>
      <c r="Z46" s="22" t="str">
        <f t="shared" ref="Z46:AC46" si="65">$P46</f>
        <v>-1.0</v>
      </c>
      <c r="AA46" s="22" t="str">
        <f t="shared" si="65"/>
        <v>-1.0</v>
      </c>
      <c r="AB46" s="22" t="str">
        <f t="shared" si="65"/>
        <v>-1.0</v>
      </c>
      <c r="AC46" s="22" t="str">
        <f t="shared" si="65"/>
        <v>-1.0</v>
      </c>
      <c r="AD46" s="23" t="str">
        <f t="shared" si="4"/>
        <v>-5</v>
      </c>
    </row>
    <row r="47" ht="15.75" customHeight="1">
      <c r="B47" s="18">
        <v>44.0</v>
      </c>
      <c r="C47" s="18" t="s">
        <v>38</v>
      </c>
      <c r="D47" s="19"/>
      <c r="E47" s="20" t="str">
        <f>Personal!G47</f>
        <v>Katherine Nicole Colmenares Véliz</v>
      </c>
      <c r="F47" s="20" t="s">
        <v>13</v>
      </c>
      <c r="G47" s="20" t="str">
        <f>Personal!H47</f>
        <v>CONTROL</v>
      </c>
      <c r="H47" s="24"/>
      <c r="I47" s="24" t="str">
        <f t="shared" si="58"/>
        <v> </v>
      </c>
      <c r="J47" s="24"/>
      <c r="K47" s="24" t="str">
        <f>IF(G47="AGENTE",'Semana 1'!$J47+0.042,IF(G47="REDES",'Semana 1'!$J47+0.042,IF(G47="AGENTE RM",'Semana 1'!$J47+0.042,IF(G47="AGENTE APERTURA",'Semana 1'!$J47+0.021,IF(G47="AGENTE CIERRE",'Semana 1'!$J47+0.021," - ")))))</f>
        <v> - </v>
      </c>
      <c r="L47" s="24"/>
      <c r="M47" s="24" t="str">
        <f>IF(G47="AGENTE",'Semana 1'!$L47+0.014,IF(G47="REDES",'Semana 1'!$L47+0.014,IF(G47="AGENTE RM",'Semana 1'!$L47+0.014,IF(G47="AGENTE APERTURA",'Semana 1'!$L47+0.014,IF(G47="AGENTE CIERRE",'Semana 1'!$L47+0.014," - ")))))</f>
        <v> - </v>
      </c>
      <c r="N47" s="24"/>
      <c r="O47" s="24" t="str">
        <f>IF(G47="AGENTE",'Semana 1'!$N47+0.007,IF(G47="REDES",'Semana 1'!$N47+0.007,IF(G47="AGENTE RM",'Semana 1'!$N47+0.007,IF(G47="AGENTE APERTURA",'Semana 1'!$N47+0.007,IF(G47="AGENTE CIERRE",'Semana 1'!$N47+0.007," - ")))))</f>
        <v> - </v>
      </c>
      <c r="P47" s="25" t="str">
        <f t="shared" si="2"/>
        <v>-1.0</v>
      </c>
      <c r="Q47" s="24"/>
      <c r="R47" s="24" t="str">
        <f t="shared" si="59"/>
        <v/>
      </c>
      <c r="S47" s="26"/>
      <c r="T47" s="26"/>
      <c r="U47" s="24"/>
      <c r="V47" s="24"/>
      <c r="W47" s="26"/>
      <c r="X47" s="26"/>
      <c r="Y47" s="25" t="str">
        <f t="shared" si="35"/>
        <v>0.0</v>
      </c>
      <c r="Z47" s="25" t="str">
        <f t="shared" ref="Z47:AC47" si="66">$P47</f>
        <v>-1.0</v>
      </c>
      <c r="AA47" s="25" t="str">
        <f t="shared" si="66"/>
        <v>-1.0</v>
      </c>
      <c r="AB47" s="25" t="str">
        <f t="shared" si="66"/>
        <v>-1.0</v>
      </c>
      <c r="AC47" s="25" t="str">
        <f t="shared" si="66"/>
        <v>-1.0</v>
      </c>
      <c r="AD47" s="27" t="str">
        <f t="shared" si="4"/>
        <v>-5</v>
      </c>
    </row>
    <row r="48" ht="15.75" customHeight="1">
      <c r="B48" s="18">
        <v>45.0</v>
      </c>
      <c r="C48" s="18" t="s">
        <v>38</v>
      </c>
      <c r="D48" s="19"/>
      <c r="E48" s="20" t="str">
        <f>Personal!G48</f>
        <v>Laptop</v>
      </c>
      <c r="F48" s="20" t="s">
        <v>13</v>
      </c>
      <c r="G48" s="20" t="str">
        <f>Personal!H48</f>
        <v>Lap</v>
      </c>
      <c r="H48" s="21"/>
      <c r="I48" s="21" t="str">
        <f t="shared" si="58"/>
        <v> </v>
      </c>
      <c r="J48" s="21"/>
      <c r="K48" s="21" t="str">
        <f>IF(G48="AGENTE",'Semana 1'!$J48+0.042,IF(G48="REDES",'Semana 1'!$J48+0.042,IF(G48="AGENTE RM",'Semana 1'!$J48+0.042,IF(G48="AGENTE APERTURA",'Semana 1'!$J48+0.021,IF(G48="AGENTE CIERRE",'Semana 1'!$J48+0.021," - ")))))</f>
        <v> - </v>
      </c>
      <c r="L48" s="21"/>
      <c r="M48" s="21" t="str">
        <f>IF(G48="AGENTE",'Semana 1'!$L48+0.014,IF(G48="REDES",'Semana 1'!$L48+0.014,IF(G48="AGENTE RM",'Semana 1'!$L48+0.014,IF(G48="AGENTE APERTURA",'Semana 1'!$L48+0.014,IF(G48="AGENTE CIERRE",'Semana 1'!$L48+0.014," - ")))))</f>
        <v> - </v>
      </c>
      <c r="N48" s="21"/>
      <c r="O48" s="21" t="str">
        <f>IF(G48="AGENTE",'Semana 1'!$N48+0.007,IF(G48="REDES",'Semana 1'!$N48+0.007,IF(G48="AGENTE RM",'Semana 1'!$N48+0.007,IF(G48="AGENTE APERTURA",'Semana 1'!$N48+0.007,IF(G48="AGENTE CIERRE",'Semana 1'!$N48+0.007," - ")))))</f>
        <v> - </v>
      </c>
      <c r="P48" s="22" t="str">
        <f t="shared" si="2"/>
        <v>-1.0</v>
      </c>
      <c r="Q48" s="21"/>
      <c r="R48" s="21" t="str">
        <f t="shared" si="59"/>
        <v/>
      </c>
      <c r="S48" s="21"/>
      <c r="T48" s="21"/>
      <c r="U48" s="21"/>
      <c r="V48" s="21" t="str">
        <f t="shared" ref="V48:V53" si="68">IF(U48=0,"",U48+0.021)</f>
        <v/>
      </c>
      <c r="W48" s="21"/>
      <c r="X48" s="21" t="str">
        <f t="shared" ref="X48:X49" si="69">IF(W48=0,"",W48+0.021)</f>
        <v/>
      </c>
      <c r="Y48" s="22" t="str">
        <f t="shared" si="35"/>
        <v>0.0</v>
      </c>
      <c r="Z48" s="22" t="str">
        <f t="shared" ref="Z48:AC48" si="67">$P48</f>
        <v>-1.0</v>
      </c>
      <c r="AA48" s="22" t="str">
        <f t="shared" si="67"/>
        <v>-1.0</v>
      </c>
      <c r="AB48" s="22" t="str">
        <f t="shared" si="67"/>
        <v>-1.0</v>
      </c>
      <c r="AC48" s="22" t="str">
        <f t="shared" si="67"/>
        <v>-1.0</v>
      </c>
      <c r="AD48" s="23" t="str">
        <f t="shared" si="4"/>
        <v>-5</v>
      </c>
    </row>
    <row r="49" ht="15.75" customHeight="1">
      <c r="B49" s="18">
        <v>46.0</v>
      </c>
      <c r="C49" s="18" t="s">
        <v>38</v>
      </c>
      <c r="D49" s="19"/>
      <c r="E49" s="20" t="str">
        <f>Personal!G49</f>
        <v>Yissa Julavy Aquino Garcia</v>
      </c>
      <c r="F49" s="20" t="s">
        <v>13</v>
      </c>
      <c r="G49" s="20" t="str">
        <f>Personal!H49</f>
        <v>AGENTE</v>
      </c>
      <c r="H49" s="24">
        <v>0.3333333333333333</v>
      </c>
      <c r="I49" s="24" t="str">
        <f t="shared" si="58"/>
        <v>17:00</v>
      </c>
      <c r="J49" s="24">
        <v>0.5</v>
      </c>
      <c r="K49" s="24" t="str">
        <f>IF(G49="AGENTE",'Semana 1'!$J49+0.042,IF(G49="REDES",'Semana 1'!$J49+0.042,IF(G49="AGENTE RM",'Semana 1'!$J49+0.042,IF(G49="AGENTE APERTURA",'Semana 1'!$J49+0.021,IF(G49="AGENTE CIERRE",'Semana 1'!$J49+0.021," - ")))))</f>
        <v>13:00</v>
      </c>
      <c r="L49" s="24">
        <v>0.3541666666666667</v>
      </c>
      <c r="M49" s="24" t="str">
        <f>IF(G49="AGENTE",'Semana 1'!$L49+0.014,IF(G49="REDES",'Semana 1'!$L49+0.014,IF(G49="AGENTE RM",'Semana 1'!$L49+0.014,IF(G49="AGENTE APERTURA",'Semana 1'!$L49+0.014,IF(G49="AGENTE CIERRE",'Semana 1'!$L49+0.014," - ")))))</f>
        <v>8:50</v>
      </c>
      <c r="N49" s="24">
        <v>0.6180555555555556</v>
      </c>
      <c r="O49" s="24" t="str">
        <f>IF(G49="AGENTE",'Semana 1'!$N49+0.007,IF(G49="REDES",'Semana 1'!$N49+0.007,IF(G49="AGENTE RM",'Semana 1'!$N49+0.007,IF(G49="AGENTE APERTURA",'Semana 1'!$N49+0.007,IF(G49="AGENTE CIERRE",'Semana 1'!$N49+0.007," - ")))))</f>
        <v>15:00</v>
      </c>
      <c r="P49" s="25" t="str">
        <f t="shared" si="2"/>
        <v>8.0</v>
      </c>
      <c r="Q49" s="24">
        <v>0.3333333333333333</v>
      </c>
      <c r="R49" s="24" t="str">
        <f t="shared" si="59"/>
        <v>13:00</v>
      </c>
      <c r="S49" s="26"/>
      <c r="T49" s="26"/>
      <c r="U49" s="24">
        <v>0.4583333333333333</v>
      </c>
      <c r="V49" s="24" t="str">
        <f t="shared" si="68"/>
        <v>11:30</v>
      </c>
      <c r="W49" s="26"/>
      <c r="X49" s="26" t="str">
        <f t="shared" si="69"/>
        <v/>
      </c>
      <c r="Y49" s="25" t="str">
        <f t="shared" si="35"/>
        <v>5.0</v>
      </c>
      <c r="Z49" s="25" t="str">
        <f t="shared" ref="Z49:AC49" si="70">$P49</f>
        <v>8.0</v>
      </c>
      <c r="AA49" s="25" t="str">
        <f t="shared" si="70"/>
        <v>8.0</v>
      </c>
      <c r="AB49" s="25" t="str">
        <f t="shared" si="70"/>
        <v>8.0</v>
      </c>
      <c r="AC49" s="25" t="str">
        <f t="shared" si="70"/>
        <v>8.0</v>
      </c>
      <c r="AD49" s="27" t="str">
        <f t="shared" si="4"/>
        <v>45</v>
      </c>
    </row>
    <row r="50" ht="15.75" customHeight="1">
      <c r="B50" s="18">
        <v>45.0</v>
      </c>
      <c r="C50" s="18" t="s">
        <v>39</v>
      </c>
      <c r="D50" s="19"/>
      <c r="E50" s="20" t="str">
        <f>Personal!G50</f>
        <v>-</v>
      </c>
      <c r="F50" s="20" t="s">
        <v>13</v>
      </c>
      <c r="G50" s="20" t="str">
        <f>Personal!H50</f>
        <v>-</v>
      </c>
      <c r="H50" s="21"/>
      <c r="I50" s="21" t="str">
        <f t="shared" si="58"/>
        <v> </v>
      </c>
      <c r="J50" s="21"/>
      <c r="K50" s="21" t="str">
        <f>IF(G50="AGENTE",'Semana 1'!$J50+0.042,IF(G50="REDES",'Semana 1'!$J50+0.042,IF(G50="AGENTE RM",'Semana 1'!$J50+0.042,IF(G50="AGENTE APERTURA",'Semana 1'!$J50+0.021,IF(G50="AGENTE CIERRE",'Semana 1'!$J50+0.021," - ")))))</f>
        <v> - </v>
      </c>
      <c r="L50" s="21"/>
      <c r="M50" s="21" t="str">
        <f>IF(G50="AGENTE",'Semana 1'!$L50+0.014,IF(G50="REDES",'Semana 1'!$L50+0.014,IF(G50="AGENTE RM",'Semana 1'!$L50+0.014,IF(G50="AGENTE APERTURA",'Semana 1'!$L50+0.014,IF(G50="AGENTE CIERRE",'Semana 1'!$L50+0.014," - ")))))</f>
        <v> - </v>
      </c>
      <c r="N50" s="21"/>
      <c r="O50" s="21" t="str">
        <f>IF(G50="AGENTE",'Semana 1'!$N50+0.007,IF(G50="REDES",'Semana 1'!$N50+0.007,IF(G50="AGENTE RM",'Semana 1'!$N50+0.007,IF(G50="AGENTE APERTURA",'Semana 1'!$N50+0.007,IF(G50="AGENTE CIERRE",'Semana 1'!$N50+0.007," - ")))))</f>
        <v> - </v>
      </c>
      <c r="P50" s="22" t="str">
        <f t="shared" si="2"/>
        <v>-1.0</v>
      </c>
      <c r="Q50" s="21"/>
      <c r="R50" s="21" t="str">
        <f t="shared" si="59"/>
        <v/>
      </c>
      <c r="S50" s="28"/>
      <c r="T50" s="28"/>
      <c r="U50" s="21"/>
      <c r="V50" s="21" t="str">
        <f t="shared" si="68"/>
        <v/>
      </c>
      <c r="W50" s="28"/>
      <c r="X50" s="28"/>
      <c r="Y50" s="22" t="str">
        <f t="shared" si="35"/>
        <v>0.0</v>
      </c>
      <c r="Z50" s="22" t="str">
        <f t="shared" ref="Z50:AC50" si="71">$P50</f>
        <v>-1.0</v>
      </c>
      <c r="AA50" s="22" t="str">
        <f t="shared" si="71"/>
        <v>-1.0</v>
      </c>
      <c r="AB50" s="22" t="str">
        <f t="shared" si="71"/>
        <v>-1.0</v>
      </c>
      <c r="AC50" s="22" t="str">
        <f t="shared" si="71"/>
        <v>-1.0</v>
      </c>
      <c r="AD50" s="23" t="str">
        <f t="shared" si="4"/>
        <v>-5</v>
      </c>
    </row>
    <row r="51" ht="15.75" customHeight="1">
      <c r="B51" s="18">
        <v>46.0</v>
      </c>
      <c r="C51" s="18" t="s">
        <v>39</v>
      </c>
      <c r="D51" s="19"/>
      <c r="E51" s="20" t="str">
        <f>Personal!G51</f>
        <v>-</v>
      </c>
      <c r="F51" s="20" t="s">
        <v>13</v>
      </c>
      <c r="G51" s="20" t="str">
        <f>Personal!H51</f>
        <v>-</v>
      </c>
      <c r="H51" s="24"/>
      <c r="I51" s="24" t="str">
        <f t="shared" si="58"/>
        <v> </v>
      </c>
      <c r="J51" s="24"/>
      <c r="K51" s="24" t="str">
        <f>IF(G51="AGENTE",'Semana 1'!$J51+0.042,IF(G51="REDES",'Semana 1'!$J51+0.042,IF(G51="AGENTE RM",'Semana 1'!$J51+0.042,IF(G51="AGENTE APERTURA",'Semana 1'!$J51+0.021,IF(G51="AGENTE CIERRE",'Semana 1'!$J51+0.021," - ")))))</f>
        <v> - </v>
      </c>
      <c r="L51" s="24"/>
      <c r="M51" s="24" t="str">
        <f>IF(G51="AGENTE",'Semana 1'!$L51+0.014,IF(G51="REDES",'Semana 1'!$L51+0.014,IF(G51="AGENTE RM",'Semana 1'!$L51+0.014,IF(G51="AGENTE APERTURA",'Semana 1'!$L51+0.014,IF(G51="AGENTE CIERRE",'Semana 1'!$L51+0.014," - ")))))</f>
        <v> - </v>
      </c>
      <c r="N51" s="24"/>
      <c r="O51" s="24" t="str">
        <f>IF(G51="AGENTE",'Semana 1'!$N51+0.007,IF(G51="REDES",'Semana 1'!$N51+0.007,IF(G51="AGENTE RM",'Semana 1'!$N51+0.007,IF(G51="AGENTE APERTURA",'Semana 1'!$N51+0.007,IF(G51="AGENTE CIERRE",'Semana 1'!$N51+0.007," - ")))))</f>
        <v> - </v>
      </c>
      <c r="P51" s="25" t="str">
        <f t="shared" si="2"/>
        <v>-1.0</v>
      </c>
      <c r="Q51" s="24"/>
      <c r="R51" s="24" t="str">
        <f t="shared" si="59"/>
        <v/>
      </c>
      <c r="S51" s="26"/>
      <c r="T51" s="26"/>
      <c r="U51" s="24"/>
      <c r="V51" s="24" t="str">
        <f t="shared" si="68"/>
        <v/>
      </c>
      <c r="W51" s="26"/>
      <c r="X51" s="26"/>
      <c r="Y51" s="25" t="str">
        <f t="shared" si="35"/>
        <v>0.0</v>
      </c>
      <c r="Z51" s="25" t="str">
        <f t="shared" ref="Z51:AC51" si="72">$P51</f>
        <v>-1.0</v>
      </c>
      <c r="AA51" s="25" t="str">
        <f t="shared" si="72"/>
        <v>-1.0</v>
      </c>
      <c r="AB51" s="25" t="str">
        <f t="shared" si="72"/>
        <v>-1.0</v>
      </c>
      <c r="AC51" s="25" t="str">
        <f t="shared" si="72"/>
        <v>-1.0</v>
      </c>
      <c r="AD51" s="27" t="str">
        <f t="shared" si="4"/>
        <v>-5</v>
      </c>
    </row>
    <row r="52" ht="15.75" customHeight="1">
      <c r="B52" s="18">
        <v>50.0</v>
      </c>
      <c r="C52" s="18" t="s">
        <v>38</v>
      </c>
      <c r="D52" s="19"/>
      <c r="E52" s="20" t="str">
        <f>Personal!G52</f>
        <v>Karla Isabel Herandez Rivas</v>
      </c>
      <c r="F52" s="20" t="s">
        <v>13</v>
      </c>
      <c r="G52" s="20" t="str">
        <f>Personal!H52</f>
        <v>SOPORTE</v>
      </c>
      <c r="H52" s="21"/>
      <c r="I52" s="21" t="str">
        <f t="shared" si="58"/>
        <v> </v>
      </c>
      <c r="J52" s="21"/>
      <c r="K52" s="21" t="str">
        <f>IF(G52="AGENTE",'Semana 1'!$J52+0.042,IF(G52="REDES",'Semana 1'!$J52+0.042,IF(G52="AGENTE RM",'Semana 1'!$J52+0.042,IF(G52="AGENTE APERTURA",'Semana 1'!$J52+0.021,IF(G52="AGENTE CIERRE",'Semana 1'!$J52+0.021," - ")))))</f>
        <v> - </v>
      </c>
      <c r="L52" s="21"/>
      <c r="M52" s="21" t="str">
        <f>IF(G52="AGENTE",'Semana 1'!$L52+0.014,IF(G52="REDES",'Semana 1'!$L52+0.014,IF(G52="AGENTE RM",'Semana 1'!$L52+0.014,IF(G52="AGENTE APERTURA",'Semana 1'!$L52+0.014,IF(G52="AGENTE CIERRE",'Semana 1'!$L52+0.014," - ")))))</f>
        <v> - </v>
      </c>
      <c r="N52" s="21"/>
      <c r="O52" s="21" t="str">
        <f>IF(G52="AGENTE",'Semana 1'!$N52+0.007,IF(G52="REDES",'Semana 1'!$N52+0.007,IF(G52="AGENTE RM",'Semana 1'!$N52+0.007,IF(G52="AGENTE APERTURA",'Semana 1'!$N52+0.007,IF(G52="AGENTE CIERRE",'Semana 1'!$N52+0.007," - ")))))</f>
        <v> - </v>
      </c>
      <c r="P52" s="22" t="str">
        <f t="shared" si="2"/>
        <v>-1.0</v>
      </c>
      <c r="Q52" s="21"/>
      <c r="R52" s="21" t="str">
        <f t="shared" si="59"/>
        <v/>
      </c>
      <c r="S52" s="28"/>
      <c r="T52" s="28"/>
      <c r="U52" s="21"/>
      <c r="V52" s="21" t="str">
        <f t="shared" si="68"/>
        <v/>
      </c>
      <c r="W52" s="28"/>
      <c r="X52" s="28"/>
      <c r="Y52" s="22" t="str">
        <f t="shared" si="35"/>
        <v>0.0</v>
      </c>
      <c r="Z52" s="22" t="str">
        <f t="shared" ref="Z52:AC52" si="73">$P52</f>
        <v>-1.0</v>
      </c>
      <c r="AA52" s="22" t="str">
        <f t="shared" si="73"/>
        <v>-1.0</v>
      </c>
      <c r="AB52" s="22" t="str">
        <f t="shared" si="73"/>
        <v>-1.0</v>
      </c>
      <c r="AC52" s="22" t="str">
        <f t="shared" si="73"/>
        <v>-1.0</v>
      </c>
      <c r="AD52" s="23" t="str">
        <f t="shared" si="4"/>
        <v>-5</v>
      </c>
    </row>
    <row r="53" ht="15.75" customHeight="1">
      <c r="B53" s="18">
        <v>51.0</v>
      </c>
      <c r="C53" s="18" t="s">
        <v>38</v>
      </c>
      <c r="D53" s="19"/>
      <c r="E53" s="20" t="str">
        <f>Personal!G53</f>
        <v>Anthony Stiven Yocute Aragon</v>
      </c>
      <c r="F53" s="20" t="s">
        <v>13</v>
      </c>
      <c r="G53" s="20" t="str">
        <f>Personal!H53</f>
        <v>AGENTE</v>
      </c>
      <c r="H53" s="24">
        <v>0.2708333333333333</v>
      </c>
      <c r="I53" s="24" t="str">
        <f t="shared" si="58"/>
        <v>15:30</v>
      </c>
      <c r="J53" s="24">
        <v>0.5416666666666666</v>
      </c>
      <c r="K53" s="24" t="str">
        <f>IF(G53="AGENTE",'Semana 1'!$J53+0.042,IF(G53="REDES",'Semana 1'!$J53+0.042,IF(G53="AGENTE RM",'Semana 1'!$J53+0.042,IF(G53="AGENTE APERTURA",'Semana 1'!$J53+0.021,IF(G53="AGENTE CIERRE",'Semana 1'!$J53+0.021," - ")))))</f>
        <v>14:00</v>
      </c>
      <c r="L53" s="24">
        <v>0.3958333333333333</v>
      </c>
      <c r="M53" s="24" t="str">
        <f>IF(G53="AGENTE",'Semana 1'!$L53+0.014,IF(G53="REDES",'Semana 1'!$L53+0.014,IF(G53="AGENTE RM",'Semana 1'!$L53+0.014,IF(G53="AGENTE APERTURA",'Semana 1'!$L53+0.014,IF(G53="AGENTE CIERRE",'Semana 1'!$L53+0.014," - ")))))</f>
        <v>9:50</v>
      </c>
      <c r="N53" s="24">
        <v>0.6041666666666666</v>
      </c>
      <c r="O53" s="24" t="str">
        <f>IF(G53="AGENTE",'Semana 1'!$N53+0.007,IF(G53="REDES",'Semana 1'!$N53+0.007,IF(G53="AGENTE RM",'Semana 1'!$N53+0.007,IF(G53="AGENTE APERTURA",'Semana 1'!$N53+0.007,IF(G53="AGENTE CIERRE",'Semana 1'!$N53+0.007," - ")))))</f>
        <v>14:40</v>
      </c>
      <c r="P53" s="25" t="str">
        <f t="shared" si="2"/>
        <v>8.0</v>
      </c>
      <c r="Q53" s="24">
        <v>0.2916666666666667</v>
      </c>
      <c r="R53" s="24" t="str">
        <f t="shared" si="59"/>
        <v>12:00</v>
      </c>
      <c r="S53" s="26"/>
      <c r="T53" s="26"/>
      <c r="U53" s="24">
        <v>0.375</v>
      </c>
      <c r="V53" s="24" t="str">
        <f t="shared" si="68"/>
        <v>9:30</v>
      </c>
      <c r="W53" s="26"/>
      <c r="X53" s="26"/>
      <c r="Y53" s="25" t="str">
        <f t="shared" si="35"/>
        <v>5.0</v>
      </c>
      <c r="Z53" s="25" t="str">
        <f t="shared" ref="Z53:AC53" si="74">$P53</f>
        <v>8.0</v>
      </c>
      <c r="AA53" s="25" t="str">
        <f t="shared" si="74"/>
        <v>8.0</v>
      </c>
      <c r="AB53" s="25" t="str">
        <f t="shared" si="74"/>
        <v>8.0</v>
      </c>
      <c r="AC53" s="25" t="str">
        <f t="shared" si="74"/>
        <v>8.0</v>
      </c>
      <c r="AD53" s="27" t="str">
        <f t="shared" si="4"/>
        <v>45</v>
      </c>
    </row>
    <row r="54" ht="15.75" customHeight="1">
      <c r="B54" s="18">
        <v>52.0</v>
      </c>
      <c r="C54" s="18" t="s">
        <v>38</v>
      </c>
      <c r="D54" s="19"/>
      <c r="E54" s="20" t="str">
        <f>Personal!G54</f>
        <v>Daylin Paulette Quiroa Quiroa</v>
      </c>
      <c r="F54" s="20" t="s">
        <v>13</v>
      </c>
      <c r="G54" s="20" t="str">
        <f>Personal!H54</f>
        <v>AGENTE CIERRE</v>
      </c>
      <c r="H54" s="21">
        <v>0.7083333333333334</v>
      </c>
      <c r="I54" s="21">
        <v>1.0</v>
      </c>
      <c r="J54" s="21">
        <v>0.8333333333333334</v>
      </c>
      <c r="K54" s="21" t="str">
        <f>IF(G54="AGENTE",'Semana 1'!$J54+0.042,IF(G54="REDES",'Semana 1'!$J54+0.042,IF(G54="AGENTE RM",'Semana 1'!$J54+0.042,IF(G54="AGENTE APERTURA",'Semana 1'!$J54+0.021,IF(G54="AGENTE CIERRE",'Semana 1'!$J54+0.021," - ")))))</f>
        <v>20:30</v>
      </c>
      <c r="L54" s="21">
        <v>0.8541666666666666</v>
      </c>
      <c r="M54" s="21" t="str">
        <f>IF(G54="AGENTE",'Semana 1'!$L54+0.014,IF(G54="REDES",'Semana 1'!$L54+0.014,IF(G54="AGENTE RM",'Semana 1'!$L54+0.014,IF(G54="AGENTE APERTURA",'Semana 1'!$L54+0.014,IF(G54="AGENTE CIERRE",'Semana 1'!$L54+0.014," - ")))))</f>
        <v>20:50</v>
      </c>
      <c r="N54" s="21">
        <v>0.8680555555555555</v>
      </c>
      <c r="O54" s="21" t="str">
        <f>IF(G54="AGENTE",'Semana 1'!$N54+0.007,IF(G54="REDES",'Semana 1'!$N54+0.007,IF(G54="AGENTE RM",'Semana 1'!$N54+0.007,IF(G54="AGENTE APERTURA",'Semana 1'!$N54+0.007,IF(G54="AGENTE CIERRE",'Semana 1'!$N54+0.007," - ")))))</f>
        <v>21:00</v>
      </c>
      <c r="P54" s="22" t="str">
        <f t="shared" si="2"/>
        <v>6.0</v>
      </c>
      <c r="Q54" s="21">
        <v>0.7083333333333334</v>
      </c>
      <c r="R54" s="21">
        <v>1.0</v>
      </c>
      <c r="S54" s="21">
        <v>0.8333333333333334</v>
      </c>
      <c r="T54" s="21">
        <v>0.8543333333333334</v>
      </c>
      <c r="U54" s="21">
        <v>0.8541666666666666</v>
      </c>
      <c r="V54" s="21">
        <v>0.8681666666666666</v>
      </c>
      <c r="W54" s="21">
        <v>0.8680555555555555</v>
      </c>
      <c r="X54" s="21">
        <v>0.8750555555555555</v>
      </c>
      <c r="Y54" s="22" t="str">
        <f>(IFERROR(R54-Q54,0)*24)-1</f>
        <v>6.0</v>
      </c>
      <c r="Z54" s="22" t="str">
        <f t="shared" ref="Z54:AC54" si="75">$P54</f>
        <v>6.0</v>
      </c>
      <c r="AA54" s="22" t="str">
        <f t="shared" si="75"/>
        <v>6.0</v>
      </c>
      <c r="AB54" s="22" t="str">
        <f t="shared" si="75"/>
        <v>6.0</v>
      </c>
      <c r="AC54" s="22" t="str">
        <f t="shared" si="75"/>
        <v>6.0</v>
      </c>
      <c r="AD54" s="23" t="str">
        <f t="shared" si="4"/>
        <v>36</v>
      </c>
    </row>
    <row r="55" ht="15.75" customHeight="1">
      <c r="B55" s="18">
        <v>53.0</v>
      </c>
      <c r="C55" s="18" t="s">
        <v>38</v>
      </c>
      <c r="D55" s="19"/>
      <c r="E55" s="20" t="str">
        <f>Personal!G55</f>
        <v>-</v>
      </c>
      <c r="F55" s="20" t="s">
        <v>13</v>
      </c>
      <c r="G55" s="20" t="s">
        <v>41</v>
      </c>
      <c r="H55" s="24"/>
      <c r="I55" s="24" t="str">
        <f t="shared" ref="I55:I64" si="77">IF(H55=0," ",IF(Q55=0,(H55+0.417),(H55+0.3756)))</f>
        <v> </v>
      </c>
      <c r="J55" s="24"/>
      <c r="K55" s="24" t="str">
        <f>IF(G55="AGENTE",'Semana 1'!$J55+0.042,IF(G55="REDES",'Semana 1'!$J55+0.042,IF(G55="AGENTE RM",'Semana 1'!$J55+0.042,IF(G55="AGENTE APERTURA",'Semana 1'!$J55+0.021,IF(G55="AGENTE CIERRE",'Semana 1'!$J55+0.021," - ")))))</f>
        <v> - </v>
      </c>
      <c r="L55" s="24"/>
      <c r="M55" s="24" t="str">
        <f>IF(G55="AGENTE",'Semana 1'!$L55+0.014,IF(G55="REDES",'Semana 1'!$L55+0.014,IF(G55="AGENTE RM",'Semana 1'!$L55+0.014,IF(G55="AGENTE APERTURA",'Semana 1'!$L55+0.014,IF(G55="AGENTE CIERRE",'Semana 1'!$L55+0.014," - ")))))</f>
        <v> - </v>
      </c>
      <c r="N55" s="24"/>
      <c r="O55" s="24" t="str">
        <f>IF(G55="AGENTE",'Semana 1'!$N55+0.007,IF(G55="REDES",'Semana 1'!$N55+0.007,IF(G55="AGENTE RM",'Semana 1'!$N55+0.007,IF(G55="AGENTE APERTURA",'Semana 1'!$N55+0.007,IF(G55="AGENTE CIERRE",'Semana 1'!$N55+0.007," - ")))))</f>
        <v> - </v>
      </c>
      <c r="P55" s="25" t="str">
        <f t="shared" si="2"/>
        <v>-1.0</v>
      </c>
      <c r="Q55" s="24"/>
      <c r="R55" s="24" t="str">
        <f t="shared" ref="R55:R63" si="78">IF(Q55=0,"",Q55+0.209)</f>
        <v/>
      </c>
      <c r="S55" s="26"/>
      <c r="T55" s="26" t="str">
        <f>IF(G55="AGENTE",'Semana 1'!$S55+0.042,IF(G55="REDES",'Semana 1'!$S55+0.042,IF(G55="AGENTE RM",'Semana 1'!$S55+0.042,IF(G55="AGENTE APERTURA",'Semana 1'!$S55+0.021,IF(G55="AGENTE CIERRE",'Semana 1'!$S55+0.021," - ")))))</f>
        <v> - </v>
      </c>
      <c r="U55" s="24"/>
      <c r="V55" s="24" t="str">
        <f t="shared" ref="V55:V64" si="79">IF(U55=0,"",U55+0.021)</f>
        <v/>
      </c>
      <c r="W55" s="26"/>
      <c r="X55" s="26"/>
      <c r="Y55" s="25" t="str">
        <f t="shared" ref="Y55:Y67" si="80">(IFERROR(R55-Q55,0)*24)</f>
        <v>0.0</v>
      </c>
      <c r="Z55" s="25" t="str">
        <f t="shared" ref="Z55:AC55" si="76">$P55</f>
        <v>-1.0</v>
      </c>
      <c r="AA55" s="25" t="str">
        <f t="shared" si="76"/>
        <v>-1.0</v>
      </c>
      <c r="AB55" s="25" t="str">
        <f t="shared" si="76"/>
        <v>-1.0</v>
      </c>
      <c r="AC55" s="25" t="str">
        <f t="shared" si="76"/>
        <v>-1.0</v>
      </c>
      <c r="AD55" s="27" t="str">
        <f t="shared" si="4"/>
        <v>-5</v>
      </c>
    </row>
    <row r="56" ht="15.75" customHeight="1">
      <c r="B56" s="18">
        <v>54.0</v>
      </c>
      <c r="C56" s="18" t="s">
        <v>38</v>
      </c>
      <c r="D56" s="19"/>
      <c r="E56" s="20" t="str">
        <f>Personal!G56</f>
        <v>Nora Azucena Sanchez Rodriguez</v>
      </c>
      <c r="F56" s="20" t="s">
        <v>13</v>
      </c>
      <c r="G56" s="20" t="str">
        <f>Personal!H56</f>
        <v>AGENTE</v>
      </c>
      <c r="H56" s="21">
        <v>0.2916666666666667</v>
      </c>
      <c r="I56" s="21" t="str">
        <f t="shared" si="77"/>
        <v>16:00</v>
      </c>
      <c r="J56" s="21">
        <v>0.5208333333333334</v>
      </c>
      <c r="K56" s="21" t="str">
        <f>IF(G56="AGENTE",'Semana 1'!$J56+0.042,IF(G56="REDES",'Semana 1'!$J56+0.042,IF(G56="AGENTE RM",'Semana 1'!$J56+0.042,IF(G56="AGENTE APERTURA",'Semana 1'!$J56+0.021,IF(G56="AGENTE CIERRE",'Semana 1'!$J56+0.021," - ")))))</f>
        <v>13:30</v>
      </c>
      <c r="L56" s="21">
        <v>0.3541666666666667</v>
      </c>
      <c r="M56" s="21" t="str">
        <f>IF(G56="AGENTE",'Semana 1'!$L56+0.014,IF(G56="REDES",'Semana 1'!$L56+0.014,IF(G56="AGENTE RM",'Semana 1'!$L56+0.014,IF(G56="AGENTE APERTURA",'Semana 1'!$L56+0.014,IF(G56="AGENTE CIERRE",'Semana 1'!$L56+0.014," - ")))))</f>
        <v>8:50</v>
      </c>
      <c r="N56" s="21">
        <v>0.65625</v>
      </c>
      <c r="O56" s="21" t="str">
        <f>IF(G56="AGENTE",'Semana 1'!$N56+0.007,IF(G56="REDES",'Semana 1'!$N56+0.007,IF(G56="AGENTE RM",'Semana 1'!$N56+0.007,IF(G56="AGENTE APERTURA",'Semana 1'!$N56+0.007,IF(G56="AGENTE CIERRE",'Semana 1'!$N56+0.007," - ")))))</f>
        <v>15:55</v>
      </c>
      <c r="P56" s="22" t="str">
        <f t="shared" si="2"/>
        <v>8.0</v>
      </c>
      <c r="Q56" s="21">
        <v>0.4166666666666667</v>
      </c>
      <c r="R56" s="21" t="str">
        <f t="shared" si="78"/>
        <v>15:00</v>
      </c>
      <c r="S56" s="28"/>
      <c r="T56" s="28"/>
      <c r="U56" s="21">
        <v>0.5625</v>
      </c>
      <c r="V56" s="21" t="str">
        <f t="shared" si="79"/>
        <v>14:00</v>
      </c>
      <c r="W56" s="28"/>
      <c r="X56" s="28"/>
      <c r="Y56" s="22" t="str">
        <f t="shared" si="80"/>
        <v>5.0</v>
      </c>
      <c r="Z56" s="22" t="str">
        <f t="shared" ref="Z56:AC56" si="81">$P56</f>
        <v>8.0</v>
      </c>
      <c r="AA56" s="22" t="str">
        <f t="shared" si="81"/>
        <v>8.0</v>
      </c>
      <c r="AB56" s="22" t="str">
        <f t="shared" si="81"/>
        <v>8.0</v>
      </c>
      <c r="AC56" s="22" t="str">
        <f t="shared" si="81"/>
        <v>8.0</v>
      </c>
      <c r="AD56" s="23" t="str">
        <f t="shared" si="4"/>
        <v>45</v>
      </c>
    </row>
    <row r="57" ht="15.75" customHeight="1">
      <c r="B57" s="18">
        <v>55.0</v>
      </c>
      <c r="C57" s="18" t="s">
        <v>38</v>
      </c>
      <c r="D57" s="19"/>
      <c r="E57" s="20" t="str">
        <f>Personal!G57</f>
        <v>Dorian Estefany Sit Santos</v>
      </c>
      <c r="F57" s="20" t="s">
        <v>13</v>
      </c>
      <c r="G57" s="20" t="str">
        <f>Personal!H57</f>
        <v>AGENTE RM</v>
      </c>
      <c r="H57" s="24">
        <v>0.3541666666666667</v>
      </c>
      <c r="I57" s="24" t="str">
        <f t="shared" si="77"/>
        <v>17:30</v>
      </c>
      <c r="J57" s="24">
        <v>0.5833333333333334</v>
      </c>
      <c r="K57" s="24" t="str">
        <f>IF(G57="AGENTE",'Semana 1'!$J57+0.042,IF(G57="REDES",'Semana 1'!$J57+0.042,IF(G57="AGENTE RM",'Semana 1'!$J57+0.042,IF(G57="AGENTE APERTURA",'Semana 1'!$J57+0.021,IF(G57="AGENTE CIERRE",'Semana 1'!$J57+0.021," - ")))))</f>
        <v>15:00</v>
      </c>
      <c r="L57" s="24">
        <v>0.40277777777777773</v>
      </c>
      <c r="M57" s="24" t="str">
        <f>IF(G57="AGENTE",'Semana 1'!$L57+0.014,IF(G57="REDES",'Semana 1'!$L57+0.014,IF(G57="AGENTE RM",'Semana 1'!$L57+0.014,IF(G57="AGENTE APERTURA",'Semana 1'!$L57+0.014,IF(G57="AGENTE CIERRE",'Semana 1'!$L57+0.014," - ")))))</f>
        <v>10:00</v>
      </c>
      <c r="N57" s="24">
        <v>0.6458333333333334</v>
      </c>
      <c r="O57" s="24" t="str">
        <f>IF(G57="AGENTE",'Semana 1'!$N57+0.007,IF(G57="REDES",'Semana 1'!$N57+0.007,IF(G57="AGENTE RM",'Semana 1'!$N57+0.007,IF(G57="AGENTE APERTURA",'Semana 1'!$N57+0.007,IF(G57="AGENTE CIERRE",'Semana 1'!$N57+0.007," - ")))))</f>
        <v>15:40</v>
      </c>
      <c r="P57" s="25" t="str">
        <f t="shared" si="2"/>
        <v>8.0</v>
      </c>
      <c r="Q57" s="24">
        <v>0.3333333333333333</v>
      </c>
      <c r="R57" s="24" t="str">
        <f t="shared" si="78"/>
        <v>13:00</v>
      </c>
      <c r="S57" s="26"/>
      <c r="T57" s="26"/>
      <c r="U57" s="24">
        <v>0.375</v>
      </c>
      <c r="V57" s="24" t="str">
        <f t="shared" si="79"/>
        <v>9:30</v>
      </c>
      <c r="W57" s="26"/>
      <c r="X57" s="26"/>
      <c r="Y57" s="25" t="str">
        <f t="shared" si="80"/>
        <v>5.0</v>
      </c>
      <c r="Z57" s="25" t="str">
        <f t="shared" ref="Z57:AC57" si="82">$P57</f>
        <v>8.0</v>
      </c>
      <c r="AA57" s="25" t="str">
        <f t="shared" si="82"/>
        <v>8.0</v>
      </c>
      <c r="AB57" s="25" t="str">
        <f t="shared" si="82"/>
        <v>8.0</v>
      </c>
      <c r="AC57" s="25" t="str">
        <f t="shared" si="82"/>
        <v>8.0</v>
      </c>
      <c r="AD57" s="27" t="str">
        <f t="shared" si="4"/>
        <v>45</v>
      </c>
    </row>
    <row r="58" ht="15.75" customHeight="1">
      <c r="B58" s="18">
        <v>56.0</v>
      </c>
      <c r="C58" s="18" t="s">
        <v>38</v>
      </c>
      <c r="D58" s="19"/>
      <c r="E58" s="20" t="str">
        <f>Personal!G58</f>
        <v>Benjamin Max Israel Boc Vicente</v>
      </c>
      <c r="F58" s="20" t="s">
        <v>13</v>
      </c>
      <c r="G58" s="20" t="str">
        <f>Personal!H58</f>
        <v>AGENTE</v>
      </c>
      <c r="H58" s="21">
        <v>0.3333333333333333</v>
      </c>
      <c r="I58" s="21" t="str">
        <f t="shared" si="77"/>
        <v>17:00</v>
      </c>
      <c r="J58" s="21">
        <v>0.625</v>
      </c>
      <c r="K58" s="21" t="str">
        <f>IF(G58="AGENTE",'Semana 1'!$J58+0.042,IF(G58="REDES",'Semana 1'!$J58+0.042,IF(G58="AGENTE RM",'Semana 1'!$J58+0.042,IF(G58="AGENTE APERTURA",'Semana 1'!$J58+0.021,IF(G58="AGENTE CIERRE",'Semana 1'!$J58+0.021," - ")))))</f>
        <v>16:00</v>
      </c>
      <c r="L58" s="21">
        <v>0.4166666666666667</v>
      </c>
      <c r="M58" s="21" t="str">
        <f>IF(G58="AGENTE",'Semana 1'!$L58+0.014,IF(G58="REDES",'Semana 1'!$L58+0.014,IF(G58="AGENTE RM",'Semana 1'!$L58+0.014,IF(G58="AGENTE APERTURA",'Semana 1'!$L58+0.014,IF(G58="AGENTE CIERRE",'Semana 1'!$L58+0.014," - ")))))</f>
        <v>10:20</v>
      </c>
      <c r="N58" s="21">
        <v>0.1875</v>
      </c>
      <c r="O58" s="21" t="str">
        <f>IF(G58="AGENTE",'Semana 1'!$N58+0.007,IF(G58="REDES",'Semana 1'!$N58+0.007,IF(G58="AGENTE RM",'Semana 1'!$N58+0.007,IF(G58="AGENTE APERTURA",'Semana 1'!$N58+0.007,IF(G58="AGENTE CIERRE",'Semana 1'!$N58+0.007," - ")))))</f>
        <v>4:40</v>
      </c>
      <c r="P58" s="22" t="str">
        <f t="shared" si="2"/>
        <v>8.0</v>
      </c>
      <c r="Q58" s="21">
        <v>0.3333333333333333</v>
      </c>
      <c r="R58" s="21" t="str">
        <f t="shared" si="78"/>
        <v>13:00</v>
      </c>
      <c r="S58" s="21"/>
      <c r="T58" s="21"/>
      <c r="U58" s="21">
        <v>0.3541666666666667</v>
      </c>
      <c r="V58" s="21" t="str">
        <f t="shared" si="79"/>
        <v>9:00</v>
      </c>
      <c r="W58" s="21"/>
      <c r="X58" s="21"/>
      <c r="Y58" s="22" t="str">
        <f t="shared" si="80"/>
        <v>5.0</v>
      </c>
      <c r="Z58" s="22" t="str">
        <f t="shared" ref="Z58:AC58" si="83">$P58</f>
        <v>8.0</v>
      </c>
      <c r="AA58" s="22" t="str">
        <f t="shared" si="83"/>
        <v>8.0</v>
      </c>
      <c r="AB58" s="22" t="str">
        <f t="shared" si="83"/>
        <v>8.0</v>
      </c>
      <c r="AC58" s="22" t="str">
        <f t="shared" si="83"/>
        <v>8.0</v>
      </c>
      <c r="AD58" s="23" t="str">
        <f t="shared" si="4"/>
        <v>45</v>
      </c>
    </row>
    <row r="59" ht="15.75" customHeight="1">
      <c r="B59" s="18">
        <v>57.0</v>
      </c>
      <c r="C59" s="18" t="s">
        <v>38</v>
      </c>
      <c r="D59" s="19"/>
      <c r="E59" s="20" t="str">
        <f>Personal!G59</f>
        <v>Ventura Glenda Paola Echeveria Perez</v>
      </c>
      <c r="F59" s="20" t="s">
        <v>13</v>
      </c>
      <c r="G59" s="20" t="str">
        <f>Personal!H59</f>
        <v>AGENTE RM</v>
      </c>
      <c r="H59" s="24">
        <v>0.3333333333333333</v>
      </c>
      <c r="I59" s="24" t="str">
        <f t="shared" si="77"/>
        <v>17:00</v>
      </c>
      <c r="J59" s="24">
        <v>0.5416666666666666</v>
      </c>
      <c r="K59" s="24" t="str">
        <f>IF(G59="AGENTE",'Semana 1'!$J59+0.042,IF(G59="REDES",'Semana 1'!$J59+0.042,IF(G59="AGENTE RM",'Semana 1'!$J59+0.042,IF(G59="AGENTE APERTURA",'Semana 1'!$J59+0.021,IF(G59="AGENTE CIERRE",'Semana 1'!$J59+0.021," - ")))))</f>
        <v>14:00</v>
      </c>
      <c r="L59" s="24">
        <v>0.3854166666666667</v>
      </c>
      <c r="M59" s="24" t="str">
        <f>IF(G59="AGENTE",'Semana 1'!$L59+0.014,IF(G59="REDES",'Semana 1'!$L59+0.014,IF(G59="AGENTE RM",'Semana 1'!$L59+0.014,IF(G59="AGENTE APERTURA",'Semana 1'!$L59+0.014,IF(G59="AGENTE CIERRE",'Semana 1'!$L59+0.014," - ")))))</f>
        <v>9:35</v>
      </c>
      <c r="N59" s="24">
        <v>0.6354166666666666</v>
      </c>
      <c r="O59" s="24" t="str">
        <f>IF(G59="AGENTE",'Semana 1'!$N59+0.007,IF(G59="REDES",'Semana 1'!$N59+0.007,IF(G59="AGENTE RM",'Semana 1'!$N59+0.007,IF(G59="AGENTE APERTURA",'Semana 1'!$N59+0.007,IF(G59="AGENTE CIERRE",'Semana 1'!$N59+0.007," - ")))))</f>
        <v>15:25</v>
      </c>
      <c r="P59" s="25" t="str">
        <f t="shared" si="2"/>
        <v>8.0</v>
      </c>
      <c r="Q59" s="24">
        <v>0.3333333333333333</v>
      </c>
      <c r="R59" s="24" t="str">
        <f t="shared" si="78"/>
        <v>13:00</v>
      </c>
      <c r="S59" s="26"/>
      <c r="T59" s="26"/>
      <c r="U59" s="24">
        <v>0.3958333333333333</v>
      </c>
      <c r="V59" s="24" t="str">
        <f t="shared" si="79"/>
        <v>10:00</v>
      </c>
      <c r="W59" s="26"/>
      <c r="X59" s="26"/>
      <c r="Y59" s="25" t="str">
        <f t="shared" si="80"/>
        <v>5.0</v>
      </c>
      <c r="Z59" s="25" t="str">
        <f t="shared" ref="Z59:AC59" si="84">$P59</f>
        <v>8.0</v>
      </c>
      <c r="AA59" s="25" t="str">
        <f t="shared" si="84"/>
        <v>8.0</v>
      </c>
      <c r="AB59" s="25" t="str">
        <f t="shared" si="84"/>
        <v>8.0</v>
      </c>
      <c r="AC59" s="25" t="str">
        <f t="shared" si="84"/>
        <v>8.0</v>
      </c>
      <c r="AD59" s="27" t="str">
        <f t="shared" si="4"/>
        <v>45</v>
      </c>
    </row>
    <row r="60" ht="15.75" customHeight="1">
      <c r="B60" s="18">
        <v>58.0</v>
      </c>
      <c r="C60" s="18" t="s">
        <v>38</v>
      </c>
      <c r="D60" s="19"/>
      <c r="E60" s="20" t="str">
        <f>Personal!G60</f>
        <v>Oscar Rene Ovalle Letran</v>
      </c>
      <c r="F60" s="20" t="s">
        <v>13</v>
      </c>
      <c r="G60" s="20" t="str">
        <f>Personal!H60</f>
        <v>SOPORTE</v>
      </c>
      <c r="H60" s="21"/>
      <c r="I60" s="21" t="str">
        <f t="shared" si="77"/>
        <v> </v>
      </c>
      <c r="J60" s="21"/>
      <c r="K60" s="21" t="str">
        <f>IF(G60="AGENTE",'Semana 1'!$J60+0.042,IF(G60="REDES",'Semana 1'!$J60+0.042,IF(G60="AGENTE RM",'Semana 1'!$J60+0.042,IF(G60="AGENTE APERTURA",'Semana 1'!$J60+0.021,IF(G60="AGENTE CIERRE",'Semana 1'!$J60+0.021," - ")))))</f>
        <v> - </v>
      </c>
      <c r="L60" s="21"/>
      <c r="M60" s="21" t="str">
        <f>IF(G60="AGENTE",'Semana 1'!$L60+0.014,IF(G60="REDES",'Semana 1'!$L60+0.014,IF(G60="AGENTE RM",'Semana 1'!$L60+0.014,IF(G60="AGENTE APERTURA",'Semana 1'!$L60+0.014,IF(G60="AGENTE CIERRE",'Semana 1'!$L60+0.014," - ")))))</f>
        <v> - </v>
      </c>
      <c r="N60" s="21"/>
      <c r="O60" s="21" t="str">
        <f>IF(G60="AGENTE",'Semana 1'!$N60+0.007,IF(G60="REDES",'Semana 1'!$N60+0.007,IF(G60="AGENTE RM",'Semana 1'!$N60+0.007,IF(G60="AGENTE APERTURA",'Semana 1'!$N60+0.007,IF(G60="AGENTE CIERRE",'Semana 1'!$N60+0.007," - ")))))</f>
        <v> - </v>
      </c>
      <c r="P60" s="22" t="str">
        <f t="shared" si="2"/>
        <v>-1.0</v>
      </c>
      <c r="Q60" s="21"/>
      <c r="R60" s="21" t="str">
        <f t="shared" si="78"/>
        <v/>
      </c>
      <c r="S60" s="21"/>
      <c r="T60" s="21" t="str">
        <f>IF(G60="AGENTE",'Semana 1'!$S60+0.042,IF(G60="REDES",'Semana 1'!$S60+0.042,IF(G60="AGENTE RM",'Semana 1'!$S60+0.042,IF(G60="AGENTE APERTURA",'Semana 1'!$S60+0.021,IF(G60="AGENTE CIERRE",'Semana 1'!$S60+0.021," - ")))))</f>
        <v> - </v>
      </c>
      <c r="U60" s="21"/>
      <c r="V60" s="21" t="str">
        <f t="shared" si="79"/>
        <v/>
      </c>
      <c r="W60" s="21"/>
      <c r="X60" s="21"/>
      <c r="Y60" s="22" t="str">
        <f t="shared" si="80"/>
        <v>0.0</v>
      </c>
      <c r="Z60" s="22" t="str">
        <f t="shared" ref="Z60:AC60" si="85">$P60</f>
        <v>-1.0</v>
      </c>
      <c r="AA60" s="22" t="str">
        <f t="shared" si="85"/>
        <v>-1.0</v>
      </c>
      <c r="AB60" s="22" t="str">
        <f t="shared" si="85"/>
        <v>-1.0</v>
      </c>
      <c r="AC60" s="22" t="str">
        <f t="shared" si="85"/>
        <v>-1.0</v>
      </c>
      <c r="AD60" s="23" t="str">
        <f t="shared" si="4"/>
        <v>-5</v>
      </c>
    </row>
    <row r="61" ht="15.75" customHeight="1">
      <c r="B61" s="18">
        <v>59.0</v>
      </c>
      <c r="C61" s="18" t="s">
        <v>38</v>
      </c>
      <c r="D61" s="19"/>
      <c r="E61" s="20" t="str">
        <f>Personal!G61</f>
        <v>Mariela Edith Torres Figueroa</v>
      </c>
      <c r="F61" s="20" t="s">
        <v>13</v>
      </c>
      <c r="G61" s="20" t="str">
        <f>Personal!H61</f>
        <v>AGENTE</v>
      </c>
      <c r="H61" s="24">
        <v>0.3333333333333333</v>
      </c>
      <c r="I61" s="24" t="str">
        <f t="shared" si="77"/>
        <v>17:00</v>
      </c>
      <c r="J61" s="24">
        <v>0.5</v>
      </c>
      <c r="K61" s="24" t="str">
        <f>IF(G61="AGENTE",'Semana 1'!$J61+0.042,IF(G61="REDES",'Semana 1'!$J61+0.042,IF(G61="AGENTE RM",'Semana 1'!$J61+0.042,IF(G61="AGENTE APERTURA",'Semana 1'!$J61+0.021,IF(G61="AGENTE CIERRE",'Semana 1'!$J61+0.021," - ")))))</f>
        <v>13:00</v>
      </c>
      <c r="L61" s="24">
        <v>0.3854166666666667</v>
      </c>
      <c r="M61" s="24" t="str">
        <f>IF(G61="AGENTE",'Semana 1'!$L61+0.014,IF(G61="REDES",'Semana 1'!$L61+0.014,IF(G61="AGENTE RM",'Semana 1'!$L61+0.014,IF(G61="AGENTE APERTURA",'Semana 1'!$L61+0.014,IF(G61="AGENTE CIERRE",'Semana 1'!$L61+0.014," - ")))))</f>
        <v>9:35</v>
      </c>
      <c r="N61" s="24">
        <v>0.71875</v>
      </c>
      <c r="O61" s="24" t="str">
        <f>IF(G61="AGENTE",'Semana 1'!$N61+0.007,IF(G61="REDES",'Semana 1'!$N61+0.007,IF(G61="AGENTE RM",'Semana 1'!$N61+0.007,IF(G61="AGENTE APERTURA",'Semana 1'!$N61+0.007,IF(G61="AGENTE CIERRE",'Semana 1'!$N61+0.007," - ")))))</f>
        <v>17:25</v>
      </c>
      <c r="P61" s="25" t="str">
        <f t="shared" si="2"/>
        <v>8.0</v>
      </c>
      <c r="Q61" s="24">
        <v>0.4166666666666667</v>
      </c>
      <c r="R61" s="24" t="str">
        <f t="shared" si="78"/>
        <v>15:00</v>
      </c>
      <c r="S61" s="26"/>
      <c r="T61" s="26"/>
      <c r="U61" s="24">
        <v>0.5</v>
      </c>
      <c r="V61" s="24" t="str">
        <f t="shared" si="79"/>
        <v>12:30</v>
      </c>
      <c r="W61" s="26"/>
      <c r="X61" s="26"/>
      <c r="Y61" s="25" t="str">
        <f t="shared" si="80"/>
        <v>5.0</v>
      </c>
      <c r="Z61" s="25" t="str">
        <f t="shared" ref="Z61:AC61" si="86">$P61</f>
        <v>8.0</v>
      </c>
      <c r="AA61" s="25" t="str">
        <f t="shared" si="86"/>
        <v>8.0</v>
      </c>
      <c r="AB61" s="25" t="str">
        <f t="shared" si="86"/>
        <v>8.0</v>
      </c>
      <c r="AC61" s="25" t="str">
        <f t="shared" si="86"/>
        <v>8.0</v>
      </c>
      <c r="AD61" s="27" t="str">
        <f t="shared" si="4"/>
        <v>45</v>
      </c>
    </row>
    <row r="62" ht="15.75" customHeight="1">
      <c r="B62" s="18">
        <v>60.0</v>
      </c>
      <c r="C62" s="18" t="s">
        <v>38</v>
      </c>
      <c r="D62" s="19"/>
      <c r="E62" s="20" t="str">
        <f>Personal!G62</f>
        <v>Marlyn Argentina Aguilar Lemus</v>
      </c>
      <c r="F62" s="20" t="s">
        <v>13</v>
      </c>
      <c r="G62" s="20" t="str">
        <f>Personal!H62</f>
        <v>AGENTE</v>
      </c>
      <c r="H62" s="21">
        <v>0.2708333333333333</v>
      </c>
      <c r="I62" s="21" t="str">
        <f t="shared" si="77"/>
        <v>15:30</v>
      </c>
      <c r="J62" s="21">
        <v>0.5</v>
      </c>
      <c r="K62" s="21" t="str">
        <f>IF(G62="AGENTE",'Semana 1'!$J62+0.042,IF(G62="REDES",'Semana 1'!$J62+0.042,IF(G62="AGENTE RM",'Semana 1'!$J62+0.042,IF(G62="AGENTE APERTURA",'Semana 1'!$J62+0.021,IF(G62="AGENTE CIERRE",'Semana 1'!$J62+0.021," - ")))))</f>
        <v>13:00</v>
      </c>
      <c r="L62" s="21">
        <v>0.3541666666666667</v>
      </c>
      <c r="M62" s="21" t="str">
        <f>IF(G62="AGENTE",'Semana 1'!$L62+0.014,IF(G62="REDES",'Semana 1'!$L62+0.014,IF(G62="AGENTE RM",'Semana 1'!$L62+0.014,IF(G62="AGENTE APERTURA",'Semana 1'!$L62+0.014,IF(G62="AGENTE CIERRE",'Semana 1'!$L62+0.014," - ")))))</f>
        <v>8:50</v>
      </c>
      <c r="N62" s="21">
        <v>0.65625</v>
      </c>
      <c r="O62" s="21" t="str">
        <f>IF(G62="AGENTE",'Semana 1'!$N62+0.007,IF(G62="REDES",'Semana 1'!$N62+0.007,IF(G62="AGENTE RM",'Semana 1'!$N62+0.007,IF(G62="AGENTE APERTURA",'Semana 1'!$N62+0.007,IF(G62="AGENTE CIERRE",'Semana 1'!$N62+0.007," - ")))))</f>
        <v>15:55</v>
      </c>
      <c r="P62" s="22" t="str">
        <f t="shared" si="2"/>
        <v>8.0</v>
      </c>
      <c r="Q62" s="21">
        <v>0.4166666666666667</v>
      </c>
      <c r="R62" s="21" t="str">
        <f t="shared" si="78"/>
        <v>15:00</v>
      </c>
      <c r="S62" s="28"/>
      <c r="T62" s="28"/>
      <c r="U62" s="21">
        <v>0.5833333333333334</v>
      </c>
      <c r="V62" s="21" t="str">
        <f t="shared" si="79"/>
        <v>14:30</v>
      </c>
      <c r="W62" s="28"/>
      <c r="X62" s="28"/>
      <c r="Y62" s="22" t="str">
        <f t="shared" si="80"/>
        <v>5.0</v>
      </c>
      <c r="Z62" s="22" t="str">
        <f t="shared" ref="Z62:AC62" si="87">$P62</f>
        <v>8.0</v>
      </c>
      <c r="AA62" s="22" t="str">
        <f t="shared" si="87"/>
        <v>8.0</v>
      </c>
      <c r="AB62" s="22" t="str">
        <f t="shared" si="87"/>
        <v>8.0</v>
      </c>
      <c r="AC62" s="22" t="str">
        <f t="shared" si="87"/>
        <v>8.0</v>
      </c>
      <c r="AD62" s="23" t="str">
        <f t="shared" si="4"/>
        <v>45</v>
      </c>
    </row>
    <row r="63" ht="15.75" customHeight="1">
      <c r="B63" s="18">
        <v>61.0</v>
      </c>
      <c r="C63" s="18" t="s">
        <v>38</v>
      </c>
      <c r="D63" s="19"/>
      <c r="E63" s="20" t="str">
        <f>Personal!G63</f>
        <v>Ilse Beatriz Perez Roque</v>
      </c>
      <c r="F63" s="20" t="s">
        <v>13</v>
      </c>
      <c r="G63" s="20" t="str">
        <f>Personal!H63</f>
        <v>AGENTE</v>
      </c>
      <c r="H63" s="24">
        <v>0.3333333333333333</v>
      </c>
      <c r="I63" s="24" t="str">
        <f t="shared" si="77"/>
        <v>17:00</v>
      </c>
      <c r="J63" s="24">
        <v>0.5833333333333334</v>
      </c>
      <c r="K63" s="24" t="str">
        <f>IF(G63="AGENTE",'Semana 1'!$J63+0.042,IF(G63="REDES",'Semana 1'!$J63+0.042,IF(G63="AGENTE RM",'Semana 1'!$J63+0.042,IF(G63="AGENTE APERTURA",'Semana 1'!$J63+0.021,IF(G63="AGENTE CIERRE",'Semana 1'!$J63+0.021," - ")))))</f>
        <v>15:00</v>
      </c>
      <c r="L63" s="24">
        <v>0.4166666666666667</v>
      </c>
      <c r="M63" s="24" t="str">
        <f>IF(G63="AGENTE",'Semana 1'!$L63+0.014,IF(G63="REDES",'Semana 1'!$L63+0.014,IF(G63="AGENTE RM",'Semana 1'!$L63+0.014,IF(G63="AGENTE APERTURA",'Semana 1'!$L63+0.014,IF(G63="AGENTE CIERRE",'Semana 1'!$L63+0.014," - ")))))</f>
        <v>10:20</v>
      </c>
      <c r="N63" s="24">
        <v>0.6875</v>
      </c>
      <c r="O63" s="24" t="str">
        <f>IF(G63="AGENTE",'Semana 1'!$N63+0.007,IF(G63="REDES",'Semana 1'!$N63+0.007,IF(G63="AGENTE RM",'Semana 1'!$N63+0.007,IF(G63="AGENTE APERTURA",'Semana 1'!$N63+0.007,IF(G63="AGENTE CIERRE",'Semana 1'!$N63+0.007," - ")))))</f>
        <v>16:40</v>
      </c>
      <c r="P63" s="25" t="str">
        <f t="shared" si="2"/>
        <v>8.0</v>
      </c>
      <c r="Q63" s="24">
        <v>0.3958333333333333</v>
      </c>
      <c r="R63" s="24" t="str">
        <f t="shared" si="78"/>
        <v>14:30</v>
      </c>
      <c r="S63" s="26"/>
      <c r="T63" s="26"/>
      <c r="U63" s="24">
        <v>0.5416666666666666</v>
      </c>
      <c r="V63" s="24" t="str">
        <f t="shared" si="79"/>
        <v>13:30</v>
      </c>
      <c r="W63" s="26"/>
      <c r="X63" s="26"/>
      <c r="Y63" s="25" t="str">
        <f t="shared" si="80"/>
        <v>5.0</v>
      </c>
      <c r="Z63" s="25" t="str">
        <f t="shared" ref="Z63:AC63" si="88">$P63</f>
        <v>8.0</v>
      </c>
      <c r="AA63" s="25" t="str">
        <f t="shared" si="88"/>
        <v>8.0</v>
      </c>
      <c r="AB63" s="25" t="str">
        <f t="shared" si="88"/>
        <v>8.0</v>
      </c>
      <c r="AC63" s="25" t="str">
        <f t="shared" si="88"/>
        <v>8.0</v>
      </c>
      <c r="AD63" s="27" t="str">
        <f t="shared" si="4"/>
        <v>45</v>
      </c>
    </row>
    <row r="64" ht="15.75" customHeight="1">
      <c r="B64" s="18">
        <v>62.0</v>
      </c>
      <c r="C64" s="18" t="s">
        <v>39</v>
      </c>
      <c r="D64" s="19"/>
      <c r="E64" s="20" t="str">
        <f>Personal!G64</f>
        <v>-</v>
      </c>
      <c r="F64" s="20" t="s">
        <v>13</v>
      </c>
      <c r="G64" s="20" t="str">
        <f>Personal!H64</f>
        <v>-</v>
      </c>
      <c r="H64" s="21"/>
      <c r="I64" s="21" t="str">
        <f t="shared" si="77"/>
        <v> </v>
      </c>
      <c r="J64" s="21"/>
      <c r="K64" s="21" t="str">
        <f>IF(G64="AGENTE",'Semana 1'!$J64+0.042,IF(G64="REDES",'Semana 1'!$J64+0.042,IF(G64="AGENTE RM",'Semana 1'!$J64+0.042,IF(G64="AGENTE APERTURA",'Semana 1'!$J64+0.021,IF(G64="AGENTE CIERRE",'Semana 1'!$J64+0.021," - ")))))</f>
        <v> - </v>
      </c>
      <c r="L64" s="21"/>
      <c r="M64" s="21" t="str">
        <f>IF(G64="AGENTE",'Semana 1'!$L64+0.014,IF(G64="REDES",'Semana 1'!$L64+0.014,IF(G64="AGENTE RM",'Semana 1'!$L64+0.014,IF(G64="AGENTE APERTURA",'Semana 1'!$L64+0.014,IF(G64="AGENTE CIERRE",'Semana 1'!$L64+0.014," - ")))))</f>
        <v> - </v>
      </c>
      <c r="N64" s="21"/>
      <c r="O64" s="21" t="str">
        <f>IF(G64="AGENTE",'Semana 1'!$N64+0.007,IF(G64="REDES",'Semana 1'!$N64+0.007,IF(G64="AGENTE RM",'Semana 1'!$N64+0.007,IF(G64="AGENTE APERTURA",'Semana 1'!$N64+0.007,IF(G64="AGENTE CIERRE",'Semana 1'!$N64+0.007," - ")))))</f>
        <v> - </v>
      </c>
      <c r="P64" s="22" t="str">
        <f t="shared" si="2"/>
        <v>-1.0</v>
      </c>
      <c r="Q64" s="21"/>
      <c r="R64" s="21"/>
      <c r="S64" s="21"/>
      <c r="T64" s="21" t="str">
        <f>IF(G64="AGENTE",'Semana 1'!$S64+0.042,IF(G64="REDES",'Semana 1'!$S64+0.042,IF(G64="AGENTE RM",'Semana 1'!$S64+0.042,IF(G64="AGENTE APERTURA",'Semana 1'!$S64+0.021,IF(G64="AGENTE CIERRE",'Semana 1'!$S64+0.021," - ")))))</f>
        <v> - </v>
      </c>
      <c r="U64" s="21"/>
      <c r="V64" s="21" t="str">
        <f t="shared" si="79"/>
        <v/>
      </c>
      <c r="W64" s="21"/>
      <c r="X64" s="21"/>
      <c r="Y64" s="22" t="str">
        <f t="shared" si="80"/>
        <v>0.0</v>
      </c>
      <c r="Z64" s="22" t="str">
        <f t="shared" ref="Z64:AC64" si="89">$P64</f>
        <v>-1.0</v>
      </c>
      <c r="AA64" s="22" t="str">
        <f t="shared" si="89"/>
        <v>-1.0</v>
      </c>
      <c r="AB64" s="22" t="str">
        <f t="shared" si="89"/>
        <v>-1.0</v>
      </c>
      <c r="AC64" s="22" t="str">
        <f t="shared" si="89"/>
        <v>-1.0</v>
      </c>
      <c r="AD64" s="23" t="str">
        <f t="shared" si="4"/>
        <v>-5</v>
      </c>
    </row>
    <row r="65" ht="15.75" customHeight="1">
      <c r="B65" s="18">
        <v>63.0</v>
      </c>
      <c r="C65" s="18" t="s">
        <v>39</v>
      </c>
      <c r="D65" s="19"/>
      <c r="E65" s="20" t="str">
        <f>Personal!G65</f>
        <v>-</v>
      </c>
      <c r="F65" s="20" t="s">
        <v>13</v>
      </c>
      <c r="G65" s="20" t="str">
        <f>Personal!H65</f>
        <v>-</v>
      </c>
      <c r="H65" s="24"/>
      <c r="I65" s="24"/>
      <c r="J65" s="24"/>
      <c r="K65" s="24" t="str">
        <f>IF(G65="AGENTE",'Semana 1'!$J65+0.042,IF(G65="REDES",'Semana 1'!$J65+0.042,IF(G65="AGENTE RM",'Semana 1'!$J65+0.042,IF(G65="AGENTE APERTURA",'Semana 1'!$J65+0.021,IF(G65="AGENTE CIERRE",'Semana 1'!$J65+0.021," - ")))))</f>
        <v> - </v>
      </c>
      <c r="L65" s="24"/>
      <c r="M65" s="24" t="str">
        <f>IF(G65="AGENTE",'Semana 1'!$L65+0.014,IF(G65="REDES",'Semana 1'!$L65+0.014,IF(G65="AGENTE RM",'Semana 1'!$L65+0.014,IF(G65="AGENTE APERTURA",'Semana 1'!$L65+0.014,IF(G65="AGENTE CIERRE",'Semana 1'!$L65+0.014," - ")))))</f>
        <v> - </v>
      </c>
      <c r="N65" s="24"/>
      <c r="O65" s="24" t="str">
        <f>IF(G65="AGENTE",'Semana 1'!$N65+0.007,IF(G65="REDES",'Semana 1'!$N65+0.007,IF(G65="AGENTE RM",'Semana 1'!$N65+0.007,IF(G65="AGENTE APERTURA",'Semana 1'!$N65+0.007,IF(G65="AGENTE CIERRE",'Semana 1'!$N65+0.007," - ")))))</f>
        <v> - </v>
      </c>
      <c r="P65" s="25" t="str">
        <f t="shared" si="2"/>
        <v>-1.0</v>
      </c>
      <c r="Q65" s="24"/>
      <c r="R65" s="24"/>
      <c r="S65" s="26"/>
      <c r="T65" s="26" t="str">
        <f>IF(G65="AGENTE",'Semana 1'!$S65+0.042,IF(G65="REDES",'Semana 1'!$S65+0.042,IF(G65="AGENTE RM",'Semana 1'!$S65+0.042,IF(G65="AGENTE APERTURA",'Semana 1'!$S65+0.021,IF(G65="AGENTE CIERRE",'Semana 1'!$S65+0.021," - ")))))</f>
        <v> - </v>
      </c>
      <c r="U65" s="24"/>
      <c r="V65" s="24"/>
      <c r="W65" s="26"/>
      <c r="X65" s="26"/>
      <c r="Y65" s="25" t="str">
        <f t="shared" si="80"/>
        <v>0.0</v>
      </c>
      <c r="Z65" s="25" t="str">
        <f t="shared" ref="Z65:AC65" si="90">$P65</f>
        <v>-1.0</v>
      </c>
      <c r="AA65" s="25" t="str">
        <f t="shared" si="90"/>
        <v>-1.0</v>
      </c>
      <c r="AB65" s="25" t="str">
        <f t="shared" si="90"/>
        <v>-1.0</v>
      </c>
      <c r="AC65" s="25" t="str">
        <f t="shared" si="90"/>
        <v>-1.0</v>
      </c>
      <c r="AD65" s="27" t="str">
        <f t="shared" si="4"/>
        <v>-5</v>
      </c>
    </row>
    <row r="66" ht="15.75" customHeight="1">
      <c r="B66" s="18">
        <v>64.0</v>
      </c>
      <c r="C66" s="18" t="s">
        <v>39</v>
      </c>
      <c r="D66" s="19"/>
      <c r="E66" s="20" t="str">
        <f>Personal!G66</f>
        <v>-</v>
      </c>
      <c r="F66" s="20" t="s">
        <v>13</v>
      </c>
      <c r="G66" s="20" t="str">
        <f>Personal!H66</f>
        <v>-</v>
      </c>
      <c r="H66" s="21"/>
      <c r="I66" s="21"/>
      <c r="J66" s="21"/>
      <c r="K66" s="21" t="str">
        <f>IF(G66="AGENTE",'Semana 1'!$J66+0.042,IF(G66="REDES",'Semana 1'!$J66+0.042,IF(G66="AGENTE RM",'Semana 1'!$J66+0.042,IF(G66="AGENTE APERTURA",'Semana 1'!$J66+0.021,IF(G66="AGENTE CIERRE",'Semana 1'!$J66+0.021," - ")))))</f>
        <v> - </v>
      </c>
      <c r="L66" s="21"/>
      <c r="M66" s="21" t="str">
        <f>IF(G66="AGENTE",'Semana 1'!$L66+0.014,IF(G66="REDES",'Semana 1'!$L66+0.014,IF(G66="AGENTE RM",'Semana 1'!$L66+0.014,IF(G66="AGENTE APERTURA",'Semana 1'!$L66+0.014,IF(G66="AGENTE CIERRE",'Semana 1'!$L66+0.014," - ")))))</f>
        <v> - </v>
      </c>
      <c r="N66" s="21"/>
      <c r="O66" s="21" t="str">
        <f>IF(G66="AGENTE",'Semana 1'!$N66+0.007,IF(G66="REDES",'Semana 1'!$N66+0.007,IF(G66="AGENTE RM",'Semana 1'!$N66+0.007,IF(G66="AGENTE APERTURA",'Semana 1'!$N66+0.007,IF(G66="AGENTE CIERRE",'Semana 1'!$N66+0.007," - ")))))</f>
        <v> - </v>
      </c>
      <c r="P66" s="22" t="str">
        <f t="shared" si="2"/>
        <v>-1.0</v>
      </c>
      <c r="Q66" s="21"/>
      <c r="R66" s="21"/>
      <c r="S66" s="28"/>
      <c r="T66" s="28" t="str">
        <f>IF(G66="AGENTE",'Semana 1'!$S66+0.042,IF(G66="REDES",'Semana 1'!$S66+0.042,IF(G66="AGENTE RM",'Semana 1'!$S66+0.042,IF(G66="AGENTE APERTURA",'Semana 1'!$S66+0.021,IF(G66="AGENTE CIERRE",'Semana 1'!$S66+0.021," - ")))))</f>
        <v> - </v>
      </c>
      <c r="U66" s="21"/>
      <c r="V66" s="21"/>
      <c r="W66" s="28"/>
      <c r="X66" s="28"/>
      <c r="Y66" s="22" t="str">
        <f t="shared" si="80"/>
        <v>0.0</v>
      </c>
      <c r="Z66" s="22" t="str">
        <f t="shared" ref="Z66:AC66" si="91">$P66</f>
        <v>-1.0</v>
      </c>
      <c r="AA66" s="22" t="str">
        <f t="shared" si="91"/>
        <v>-1.0</v>
      </c>
      <c r="AB66" s="22" t="str">
        <f t="shared" si="91"/>
        <v>-1.0</v>
      </c>
      <c r="AC66" s="22" t="str">
        <f t="shared" si="91"/>
        <v>-1.0</v>
      </c>
      <c r="AD66" s="23" t="str">
        <f t="shared" si="4"/>
        <v>-5</v>
      </c>
    </row>
    <row r="67" ht="15.75" customHeight="1">
      <c r="B67" s="18">
        <v>65.0</v>
      </c>
      <c r="C67" s="18" t="s">
        <v>38</v>
      </c>
      <c r="D67" s="19"/>
      <c r="E67" s="20" t="str">
        <f>Personal!G67</f>
        <v>Selvin Manolo Rajpop Ajuchan</v>
      </c>
      <c r="F67" s="20" t="s">
        <v>13</v>
      </c>
      <c r="G67" s="20" t="str">
        <f>Personal!H67</f>
        <v>AGENTE</v>
      </c>
      <c r="H67" s="24">
        <v>0.3333333333333333</v>
      </c>
      <c r="I67" s="24" t="str">
        <f>IF(H67=0," ",IF(Q67=0,(H67+0.417),(H67+0.3756)))</f>
        <v>17:00</v>
      </c>
      <c r="J67" s="24">
        <v>0.5416666666666666</v>
      </c>
      <c r="K67" s="24" t="str">
        <f>IF(G67="AGENTE",'Semana 1'!$J67+0.042,IF(G67="REDES",'Semana 1'!$J67+0.042,IF(G67="AGENTE RM",'Semana 1'!$J67+0.042,IF(G67="AGENTE APERTURA",'Semana 1'!$J67+0.021,IF(G67="AGENTE CIERRE",'Semana 1'!$J67+0.021," - ")))))</f>
        <v>14:00</v>
      </c>
      <c r="L67" s="24">
        <v>0.3854166666666667</v>
      </c>
      <c r="M67" s="24" t="str">
        <f>IF(G67="AGENTE",'Semana 1'!$L67+0.014,IF(G67="REDES",'Semana 1'!$L67+0.014,IF(G67="AGENTE RM",'Semana 1'!$L67+0.014,IF(G67="AGENTE APERTURA",'Semana 1'!$L67+0.014,IF(G67="AGENTE CIERRE",'Semana 1'!$L67+0.014," - ")))))</f>
        <v>9:35</v>
      </c>
      <c r="N67" s="24">
        <v>0.6979166666666666</v>
      </c>
      <c r="O67" s="24" t="str">
        <f>IF(G67="AGENTE",'Semana 1'!$N67+0.007,IF(G67="REDES",'Semana 1'!$N67+0.007,IF(G67="AGENTE RM",'Semana 1'!$N67+0.007,IF(G67="AGENTE APERTURA",'Semana 1'!$N67+0.007,IF(G67="AGENTE CIERRE",'Semana 1'!$N67+0.007," - ")))))</f>
        <v>16:55</v>
      </c>
      <c r="P67" s="25" t="str">
        <f t="shared" si="2"/>
        <v>8.0</v>
      </c>
      <c r="Q67" s="24">
        <v>0.3541666666666667</v>
      </c>
      <c r="R67" s="24" t="str">
        <f>IF(Q67=0,"",Q67+0.209)</f>
        <v>13:30</v>
      </c>
      <c r="S67" s="26"/>
      <c r="T67" s="26"/>
      <c r="U67" s="24">
        <v>0.3541666666666667</v>
      </c>
      <c r="V67" s="24" t="str">
        <f>IF(U67=0,"",U67+0.021)</f>
        <v>9:00</v>
      </c>
      <c r="W67" s="26"/>
      <c r="X67" s="26"/>
      <c r="Y67" s="25" t="str">
        <f t="shared" si="80"/>
        <v>5.0</v>
      </c>
      <c r="Z67" s="25" t="str">
        <f t="shared" ref="Z67:AC67" si="92">$P67</f>
        <v>8.0</v>
      </c>
      <c r="AA67" s="25" t="str">
        <f t="shared" si="92"/>
        <v>8.0</v>
      </c>
      <c r="AB67" s="25" t="str">
        <f t="shared" si="92"/>
        <v>8.0</v>
      </c>
      <c r="AC67" s="25" t="str">
        <f t="shared" si="92"/>
        <v>8.0</v>
      </c>
      <c r="AD67" s="27" t="str">
        <f t="shared" si="4"/>
        <v>45</v>
      </c>
    </row>
    <row r="68" ht="15.75" customHeight="1">
      <c r="B68" s="18">
        <v>66.0</v>
      </c>
      <c r="C68" s="18" t="s">
        <v>38</v>
      </c>
      <c r="D68" s="19"/>
      <c r="E68" s="20" t="str">
        <f>Personal!G68</f>
        <v>Abner Alexander Curruchich Diaz</v>
      </c>
      <c r="F68" s="20" t="s">
        <v>13</v>
      </c>
      <c r="G68" s="20" t="str">
        <f>Personal!H68</f>
        <v>AGENTE</v>
      </c>
      <c r="H68" s="21">
        <v>0.6666666666666666</v>
      </c>
      <c r="I68" s="21">
        <v>0.9583333333333334</v>
      </c>
      <c r="J68" s="21">
        <v>0.875</v>
      </c>
      <c r="K68" s="21">
        <v>0.8958333333333334</v>
      </c>
      <c r="L68" s="21">
        <v>0.8958333333333334</v>
      </c>
      <c r="M68" s="21" t="str">
        <f>IF(G68="AGENTE",'Semana 1'!$L68+0.014,IF(G68="REDES",'Semana 1'!$L68+0.014,IF(G68="AGENTE RM",'Semana 1'!$L68+0.014,IF(G68="AGENTE APERTURA",'Semana 1'!$L68+0.014,IF(G68="AGENTE CIERRE",'Semana 1'!$L68+0.014," - ")))))</f>
        <v>21:50</v>
      </c>
      <c r="N68" s="21">
        <v>0.9097222222222222</v>
      </c>
      <c r="O68" s="21" t="str">
        <f>IF(G68="AGENTE",'Semana 1'!$N68+0.007,IF(G68="REDES",'Semana 1'!$N68+0.007,IF(G68="AGENTE RM",'Semana 1'!$N68+0.007,IF(G68="AGENTE APERTURA",'Semana 1'!$N68+0.007,IF(G68="AGENTE CIERRE",'Semana 1'!$N68+0.007," - ")))))</f>
        <v>22:00</v>
      </c>
      <c r="P68" s="22" t="str">
        <f t="shared" si="2"/>
        <v>6.0</v>
      </c>
      <c r="Q68" s="21">
        <v>0.6666666666666666</v>
      </c>
      <c r="R68" s="21">
        <v>0.9583333333333334</v>
      </c>
      <c r="S68" s="21">
        <v>0.875</v>
      </c>
      <c r="T68" s="21">
        <v>0.8958333333333334</v>
      </c>
      <c r="U68" s="21">
        <v>0.8958333333333334</v>
      </c>
      <c r="V68" s="21">
        <v>0.9098333333333334</v>
      </c>
      <c r="W68" s="21">
        <v>0.9097222222222222</v>
      </c>
      <c r="X68" s="21">
        <v>0.9167222222222222</v>
      </c>
      <c r="Y68" s="22" t="str">
        <f>(IFERROR(R68-Q68,0)*24)-1</f>
        <v>6.0</v>
      </c>
      <c r="Z68" s="22" t="str">
        <f t="shared" ref="Z68:AC68" si="93">$P68</f>
        <v>6.0</v>
      </c>
      <c r="AA68" s="22" t="str">
        <f t="shared" si="93"/>
        <v>6.0</v>
      </c>
      <c r="AB68" s="22" t="str">
        <f t="shared" si="93"/>
        <v>6.0</v>
      </c>
      <c r="AC68" s="22" t="str">
        <f t="shared" si="93"/>
        <v>6.0</v>
      </c>
      <c r="AD68" s="23" t="str">
        <f t="shared" si="4"/>
        <v>36</v>
      </c>
    </row>
    <row r="69" ht="15.75" customHeight="1">
      <c r="B69" s="18">
        <v>67.0</v>
      </c>
      <c r="C69" s="18" t="s">
        <v>38</v>
      </c>
      <c r="D69" s="19"/>
      <c r="E69" s="20" t="str">
        <f>Personal!G69</f>
        <v>Cindi Yorleni Godinez Siles de Eguizabal</v>
      </c>
      <c r="F69" s="20" t="s">
        <v>13</v>
      </c>
      <c r="G69" s="20" t="str">
        <f>Personal!H69</f>
        <v>AGENTE</v>
      </c>
      <c r="H69" s="24">
        <v>0.4166666666666667</v>
      </c>
      <c r="I69" s="24" t="str">
        <f t="shared" ref="I69:I74" si="95">IF(H69=0," ",IF(Q69=0,(H69+0.417),(H69+0.3756)))</f>
        <v>19:00</v>
      </c>
      <c r="J69" s="24">
        <v>0.625</v>
      </c>
      <c r="K69" s="24" t="str">
        <f>IF(G69="AGENTE",'Semana 1'!$J69+0.042,IF(G69="REDES",'Semana 1'!$J69+0.042,IF(G69="AGENTE RM",'Semana 1'!$J69+0.042,IF(G69="AGENTE APERTURA",'Semana 1'!$J69+0.021,IF(G69="AGENTE CIERRE",'Semana 1'!$J69+0.021," - ")))))</f>
        <v>16:00</v>
      </c>
      <c r="L69" s="24">
        <v>0.46875</v>
      </c>
      <c r="M69" s="24" t="str">
        <f>IF(G69="AGENTE",'Semana 1'!$L69+0.014,IF(G69="REDES",'Semana 1'!$L69+0.014,IF(G69="AGENTE RM",'Semana 1'!$L69+0.014,IF(G69="AGENTE APERTURA",'Semana 1'!$L69+0.014,IF(G69="AGENTE CIERRE",'Semana 1'!$L69+0.014," - ")))))</f>
        <v>11:35</v>
      </c>
      <c r="N69" s="24">
        <v>0.6875</v>
      </c>
      <c r="O69" s="24" t="str">
        <f>IF(G69="AGENTE",'Semana 1'!$N69+0.007,IF(G69="REDES",'Semana 1'!$N69+0.007,IF(G69="AGENTE RM",'Semana 1'!$N69+0.007,IF(G69="AGENTE APERTURA",'Semana 1'!$N69+0.007,IF(G69="AGENTE CIERRE",'Semana 1'!$N69+0.007," - ")))))</f>
        <v>16:40</v>
      </c>
      <c r="P69" s="25" t="str">
        <f t="shared" si="2"/>
        <v>8.0</v>
      </c>
      <c r="Q69" s="24">
        <v>0.4583333333333333</v>
      </c>
      <c r="R69" s="24" t="str">
        <f t="shared" ref="R69:R74" si="96">IF(Q69=0,"",Q69+0.209)</f>
        <v>16:00</v>
      </c>
      <c r="S69" s="26"/>
      <c r="T69" s="26"/>
      <c r="U69" s="24">
        <v>0.5416666666666666</v>
      </c>
      <c r="V69" s="24" t="str">
        <f t="shared" ref="V69:V74" si="97">IF(U69=0,"",U69+0.021)</f>
        <v>13:30</v>
      </c>
      <c r="W69" s="26"/>
      <c r="X69" s="26"/>
      <c r="Y69" s="25" t="str">
        <f t="shared" ref="Y69:Y79" si="98">(IFERROR(R69-Q69,0)*24)</f>
        <v>5.0</v>
      </c>
      <c r="Z69" s="25" t="str">
        <f t="shared" ref="Z69:AC69" si="94">$P69</f>
        <v>8.0</v>
      </c>
      <c r="AA69" s="25" t="str">
        <f t="shared" si="94"/>
        <v>8.0</v>
      </c>
      <c r="AB69" s="25" t="str">
        <f t="shared" si="94"/>
        <v>8.0</v>
      </c>
      <c r="AC69" s="25" t="str">
        <f t="shared" si="94"/>
        <v>8.0</v>
      </c>
      <c r="AD69" s="27" t="str">
        <f t="shared" si="4"/>
        <v>45</v>
      </c>
    </row>
    <row r="70" ht="15.75" customHeight="1">
      <c r="B70" s="18">
        <v>68.0</v>
      </c>
      <c r="C70" s="18" t="s">
        <v>38</v>
      </c>
      <c r="D70" s="19"/>
      <c r="E70" s="20" t="str">
        <f>Personal!G70</f>
        <v>Lleny Yolanda Asetun Jeronimo de Mateo</v>
      </c>
      <c r="F70" s="20" t="s">
        <v>13</v>
      </c>
      <c r="G70" s="20" t="str">
        <f>Personal!H70</f>
        <v>AGENTE</v>
      </c>
      <c r="H70" s="21">
        <v>0.3333333333333333</v>
      </c>
      <c r="I70" s="21" t="str">
        <f t="shared" si="95"/>
        <v>17:00</v>
      </c>
      <c r="J70" s="21">
        <v>0.5416666666666666</v>
      </c>
      <c r="K70" s="21" t="str">
        <f>IF(G70="AGENTE",'Semana 1'!$J70+0.042,IF(G70="REDES",'Semana 1'!$J70+0.042,IF(G70="AGENTE RM",'Semana 1'!$J70+0.042,IF(G70="AGENTE APERTURA",'Semana 1'!$J70+0.021,IF(G70="AGENTE CIERRE",'Semana 1'!$J70+0.021," - ")))))</f>
        <v>14:00</v>
      </c>
      <c r="L70" s="21">
        <v>0.3958333333333333</v>
      </c>
      <c r="M70" s="21" t="str">
        <f>IF(G70="AGENTE",'Semana 1'!$L70+0.014,IF(G70="REDES",'Semana 1'!$L70+0.014,IF(G70="AGENTE RM",'Semana 1'!$L70+0.014,IF(G70="AGENTE APERTURA",'Semana 1'!$L70+0.014,IF(G70="AGENTE CIERRE",'Semana 1'!$L70+0.014," - ")))))</f>
        <v>9:50</v>
      </c>
      <c r="N70" s="21">
        <v>0.6770833333333334</v>
      </c>
      <c r="O70" s="21" t="str">
        <f>IF(G70="AGENTE",'Semana 1'!$N70+0.007,IF(G70="REDES",'Semana 1'!$N70+0.007,IF(G70="AGENTE RM",'Semana 1'!$N70+0.007,IF(G70="AGENTE APERTURA",'Semana 1'!$N70+0.007,IF(G70="AGENTE CIERRE",'Semana 1'!$N70+0.007," - ")))))</f>
        <v>16:25</v>
      </c>
      <c r="P70" s="22" t="str">
        <f t="shared" si="2"/>
        <v>8.0</v>
      </c>
      <c r="Q70" s="21">
        <v>0.5416666666666666</v>
      </c>
      <c r="R70" s="21" t="str">
        <f t="shared" si="96"/>
        <v>18:00</v>
      </c>
      <c r="S70" s="28"/>
      <c r="T70" s="28"/>
      <c r="U70" s="21">
        <v>0.6458333333333334</v>
      </c>
      <c r="V70" s="21" t="str">
        <f t="shared" si="97"/>
        <v>16:00</v>
      </c>
      <c r="W70" s="28"/>
      <c r="X70" s="28"/>
      <c r="Y70" s="22" t="str">
        <f t="shared" si="98"/>
        <v>5.0</v>
      </c>
      <c r="Z70" s="22" t="str">
        <f t="shared" ref="Z70:AC70" si="99">$P70</f>
        <v>8.0</v>
      </c>
      <c r="AA70" s="22" t="str">
        <f t="shared" si="99"/>
        <v>8.0</v>
      </c>
      <c r="AB70" s="22" t="str">
        <f t="shared" si="99"/>
        <v>8.0</v>
      </c>
      <c r="AC70" s="22" t="str">
        <f t="shared" si="99"/>
        <v>8.0</v>
      </c>
      <c r="AD70" s="23" t="str">
        <f t="shared" si="4"/>
        <v>45</v>
      </c>
    </row>
    <row r="71" ht="15.75" customHeight="1">
      <c r="B71" s="18">
        <v>69.0</v>
      </c>
      <c r="C71" s="18" t="s">
        <v>38</v>
      </c>
      <c r="D71" s="19"/>
      <c r="E71" s="20" t="str">
        <f>Personal!G71</f>
        <v>Ruth Nohemi Rosales Perez</v>
      </c>
      <c r="F71" s="20" t="s">
        <v>13</v>
      </c>
      <c r="G71" s="20" t="str">
        <f>Personal!H71</f>
        <v>AGENTE</v>
      </c>
      <c r="H71" s="24">
        <v>0.2916666666666667</v>
      </c>
      <c r="I71" s="24" t="str">
        <f t="shared" si="95"/>
        <v>16:00</v>
      </c>
      <c r="J71" s="24">
        <v>0.5</v>
      </c>
      <c r="K71" s="24" t="str">
        <f>IF(G71="AGENTE",'Semana 1'!$J71+0.042,IF(G71="REDES",'Semana 1'!$J71+0.042,IF(G71="AGENTE RM",'Semana 1'!$J71+0.042,IF(G71="AGENTE APERTURA",'Semana 1'!$J71+0.021,IF(G71="AGENTE CIERRE",'Semana 1'!$J71+0.021," - ")))))</f>
        <v>13:00</v>
      </c>
      <c r="L71" s="24">
        <v>0.3645833333333333</v>
      </c>
      <c r="M71" s="24" t="str">
        <f>IF(G71="AGENTE",'Semana 1'!$L71+0.014,IF(G71="REDES",'Semana 1'!$L71+0.014,IF(G71="AGENTE RM",'Semana 1'!$L71+0.014,IF(G71="AGENTE APERTURA",'Semana 1'!$L71+0.014,IF(G71="AGENTE CIERRE",'Semana 1'!$L71+0.014," - ")))))</f>
        <v>9:05</v>
      </c>
      <c r="N71" s="24">
        <v>0.6458333333333334</v>
      </c>
      <c r="O71" s="24" t="str">
        <f>IF(G71="AGENTE",'Semana 1'!$N71+0.007,IF(G71="REDES",'Semana 1'!$N71+0.007,IF(G71="AGENTE RM",'Semana 1'!$N71+0.007,IF(G71="AGENTE APERTURA",'Semana 1'!$N71+0.007,IF(G71="AGENTE CIERRE",'Semana 1'!$N71+0.007," - ")))))</f>
        <v>15:40</v>
      </c>
      <c r="P71" s="25" t="str">
        <f t="shared" si="2"/>
        <v>8.0</v>
      </c>
      <c r="Q71" s="24">
        <v>0.4583333333333333</v>
      </c>
      <c r="R71" s="24" t="str">
        <f t="shared" si="96"/>
        <v>16:00</v>
      </c>
      <c r="S71" s="26"/>
      <c r="T71" s="26"/>
      <c r="U71" s="24">
        <v>0.5</v>
      </c>
      <c r="V71" s="24" t="str">
        <f t="shared" si="97"/>
        <v>12:30</v>
      </c>
      <c r="W71" s="26"/>
      <c r="X71" s="26"/>
      <c r="Y71" s="25" t="str">
        <f t="shared" si="98"/>
        <v>5.0</v>
      </c>
      <c r="Z71" s="25" t="str">
        <f t="shared" ref="Z71:AC71" si="100">$P71</f>
        <v>8.0</v>
      </c>
      <c r="AA71" s="25" t="str">
        <f t="shared" si="100"/>
        <v>8.0</v>
      </c>
      <c r="AB71" s="25" t="str">
        <f t="shared" si="100"/>
        <v>8.0</v>
      </c>
      <c r="AC71" s="25" t="str">
        <f t="shared" si="100"/>
        <v>8.0</v>
      </c>
      <c r="AD71" s="27" t="str">
        <f t="shared" si="4"/>
        <v>45</v>
      </c>
    </row>
    <row r="72" ht="15.75" customHeight="1">
      <c r="B72" s="18">
        <v>70.0</v>
      </c>
      <c r="C72" s="18" t="s">
        <v>38</v>
      </c>
      <c r="D72" s="19"/>
      <c r="E72" s="20" t="str">
        <f>Personal!G72</f>
        <v>Erick Alejandro Avea Rivera</v>
      </c>
      <c r="F72" s="20" t="s">
        <v>13</v>
      </c>
      <c r="G72" s="20" t="str">
        <f>Personal!H72</f>
        <v>AGENTE</v>
      </c>
      <c r="H72" s="21">
        <v>0.4166666666666667</v>
      </c>
      <c r="I72" s="21" t="str">
        <f t="shared" si="95"/>
        <v>19:00</v>
      </c>
      <c r="J72" s="21">
        <v>0.625</v>
      </c>
      <c r="K72" s="21" t="str">
        <f>IF(G72="AGENTE",'Semana 1'!$J72+0.042,IF(G72="REDES",'Semana 1'!$J72+0.042,IF(G72="AGENTE RM",'Semana 1'!$J72+0.042,IF(G72="AGENTE APERTURA",'Semana 1'!$J72+0.021,IF(G72="AGENTE CIERRE",'Semana 1'!$J72+0.021," - ")))))</f>
        <v>16:00</v>
      </c>
      <c r="L72" s="21">
        <v>0.4791666666666667</v>
      </c>
      <c r="M72" s="21" t="str">
        <f>IF(G72="AGENTE",'Semana 1'!$L72+0.014,IF(G72="REDES",'Semana 1'!$L72+0.014,IF(G72="AGENTE RM",'Semana 1'!$L72+0.014,IF(G72="AGENTE APERTURA",'Semana 1'!$L72+0.014,IF(G72="AGENTE CIERRE",'Semana 1'!$L72+0.014," - ")))))</f>
        <v>11:50</v>
      </c>
      <c r="N72" s="21">
        <v>0.6979166666666666</v>
      </c>
      <c r="O72" s="21" t="str">
        <f>IF(G72="AGENTE",'Semana 1'!$N72+0.007,IF(G72="REDES",'Semana 1'!$N72+0.007,IF(G72="AGENTE RM",'Semana 1'!$N72+0.007,IF(G72="AGENTE APERTURA",'Semana 1'!$N72+0.007,IF(G72="AGENTE CIERRE",'Semana 1'!$N72+0.007," - ")))))</f>
        <v>16:55</v>
      </c>
      <c r="P72" s="22" t="str">
        <f t="shared" si="2"/>
        <v>8.0</v>
      </c>
      <c r="Q72" s="21">
        <v>0.5</v>
      </c>
      <c r="R72" s="21" t="str">
        <f t="shared" si="96"/>
        <v>17:00</v>
      </c>
      <c r="S72" s="28"/>
      <c r="T72" s="28"/>
      <c r="U72" s="21">
        <v>0.5833333333333334</v>
      </c>
      <c r="V72" s="21" t="str">
        <f t="shared" si="97"/>
        <v>14:30</v>
      </c>
      <c r="W72" s="28"/>
      <c r="X72" s="28"/>
      <c r="Y72" s="22" t="str">
        <f t="shared" si="98"/>
        <v>5.0</v>
      </c>
      <c r="Z72" s="22" t="str">
        <f t="shared" ref="Z72:AC72" si="101">$P72</f>
        <v>8.0</v>
      </c>
      <c r="AA72" s="22" t="str">
        <f t="shared" si="101"/>
        <v>8.0</v>
      </c>
      <c r="AB72" s="22" t="str">
        <f t="shared" si="101"/>
        <v>8.0</v>
      </c>
      <c r="AC72" s="22" t="str">
        <f t="shared" si="101"/>
        <v>8.0</v>
      </c>
      <c r="AD72" s="23" t="str">
        <f t="shared" si="4"/>
        <v>45</v>
      </c>
    </row>
    <row r="73" ht="15.75" customHeight="1">
      <c r="B73" s="18">
        <v>71.0</v>
      </c>
      <c r="C73" s="18" t="s">
        <v>38</v>
      </c>
      <c r="D73" s="19"/>
      <c r="E73" s="20" t="str">
        <f>Personal!G73</f>
        <v>Johanna Elizabeth Rodriguez Bustamante</v>
      </c>
      <c r="F73" s="20" t="s">
        <v>13</v>
      </c>
      <c r="G73" s="20" t="str">
        <f>Personal!H73</f>
        <v>AGENTE</v>
      </c>
      <c r="H73" s="24">
        <v>0.3333333333333333</v>
      </c>
      <c r="I73" s="24" t="str">
        <f t="shared" si="95"/>
        <v>17:00</v>
      </c>
      <c r="J73" s="24">
        <v>0.5416666666666666</v>
      </c>
      <c r="K73" s="24" t="str">
        <f>IF(G73="AGENTE",'Semana 1'!$J73+0.042,IF(G73="REDES",'Semana 1'!$J73+0.042,IF(G73="AGENTE RM",'Semana 1'!$J73+0.042,IF(G73="AGENTE APERTURA",'Semana 1'!$J73+0.021,IF(G73="AGENTE CIERRE",'Semana 1'!$J73+0.021," - ")))))</f>
        <v>14:00</v>
      </c>
      <c r="L73" s="24">
        <v>0.40625</v>
      </c>
      <c r="M73" s="24" t="str">
        <f>IF(G73="AGENTE",'Semana 1'!$L73+0.014,IF(G73="REDES",'Semana 1'!$L73+0.014,IF(G73="AGENTE RM",'Semana 1'!$L73+0.014,IF(G73="AGENTE APERTURA",'Semana 1'!$L73+0.014,IF(G73="AGENTE CIERRE",'Semana 1'!$L73+0.014," - ")))))</f>
        <v>10:05</v>
      </c>
      <c r="N73" s="24">
        <v>0.6770833333333334</v>
      </c>
      <c r="O73" s="24" t="str">
        <f>IF(G73="AGENTE",'Semana 1'!$N73+0.007,IF(G73="REDES",'Semana 1'!$N73+0.007,IF(G73="AGENTE RM",'Semana 1'!$N73+0.007,IF(G73="AGENTE APERTURA",'Semana 1'!$N73+0.007,IF(G73="AGENTE CIERRE",'Semana 1'!$N73+0.007," - ")))))</f>
        <v>16:25</v>
      </c>
      <c r="P73" s="25" t="str">
        <f t="shared" si="2"/>
        <v>8.0</v>
      </c>
      <c r="Q73" s="24">
        <v>0.5416666666666666</v>
      </c>
      <c r="R73" s="24" t="str">
        <f t="shared" si="96"/>
        <v>18:00</v>
      </c>
      <c r="S73" s="26"/>
      <c r="T73" s="26"/>
      <c r="U73" s="24">
        <v>0.625</v>
      </c>
      <c r="V73" s="24" t="str">
        <f t="shared" si="97"/>
        <v>15:30</v>
      </c>
      <c r="W73" s="26"/>
      <c r="X73" s="26"/>
      <c r="Y73" s="25" t="str">
        <f t="shared" si="98"/>
        <v>5.0</v>
      </c>
      <c r="Z73" s="25" t="str">
        <f t="shared" ref="Z73:AC73" si="102">$P73</f>
        <v>8.0</v>
      </c>
      <c r="AA73" s="25" t="str">
        <f t="shared" si="102"/>
        <v>8.0</v>
      </c>
      <c r="AB73" s="25" t="str">
        <f t="shared" si="102"/>
        <v>8.0</v>
      </c>
      <c r="AC73" s="25" t="str">
        <f t="shared" si="102"/>
        <v>8.0</v>
      </c>
      <c r="AD73" s="27" t="str">
        <f t="shared" si="4"/>
        <v>45</v>
      </c>
    </row>
    <row r="74" ht="15.75" customHeight="1">
      <c r="B74" s="18">
        <v>72.0</v>
      </c>
      <c r="C74" s="18" t="s">
        <v>38</v>
      </c>
      <c r="D74" s="19"/>
      <c r="E74" s="20" t="str">
        <f>Personal!G74</f>
        <v>Rosbin Omar Salazar Pacay</v>
      </c>
      <c r="F74" s="20" t="s">
        <v>13</v>
      </c>
      <c r="G74" s="20" t="str">
        <f>Personal!H74</f>
        <v>AGENTE</v>
      </c>
      <c r="H74" s="21">
        <v>0.3333333333333333</v>
      </c>
      <c r="I74" s="21" t="str">
        <f t="shared" si="95"/>
        <v>17:00</v>
      </c>
      <c r="J74" s="21">
        <v>0.5833333333333334</v>
      </c>
      <c r="K74" s="21" t="str">
        <f>IF(G74="AGENTE",'Semana 1'!$J74+0.042,IF(G74="REDES",'Semana 1'!$J74+0.042,IF(G74="AGENTE RM",'Semana 1'!$J74+0.042,IF(G74="AGENTE APERTURA",'Semana 1'!$J74+0.021,IF(G74="AGENTE CIERRE",'Semana 1'!$J74+0.021," - ")))))</f>
        <v>15:00</v>
      </c>
      <c r="L74" s="21">
        <v>0.3958333333333333</v>
      </c>
      <c r="M74" s="21" t="str">
        <f>IF(G74="AGENTE",'Semana 1'!$L74+0.014,IF(G74="REDES",'Semana 1'!$L74+0.014,IF(G74="AGENTE RM",'Semana 1'!$L74+0.014,IF(G74="AGENTE APERTURA",'Semana 1'!$L74+0.014,IF(G74="AGENTE CIERRE",'Semana 1'!$L74+0.014," - ")))))</f>
        <v>9:50</v>
      </c>
      <c r="N74" s="21">
        <v>0.6666666666666666</v>
      </c>
      <c r="O74" s="21" t="str">
        <f>IF(G74="AGENTE",'Semana 1'!$N74+0.007,IF(G74="REDES",'Semana 1'!$N74+0.007,IF(G74="AGENTE RM",'Semana 1'!$N74+0.007,IF(G74="AGENTE APERTURA",'Semana 1'!$N74+0.007,IF(G74="AGENTE CIERRE",'Semana 1'!$N74+0.007," - ")))))</f>
        <v>16:10</v>
      </c>
      <c r="P74" s="22" t="str">
        <f t="shared" si="2"/>
        <v>8.0</v>
      </c>
      <c r="Q74" s="21">
        <v>0.5416666666666666</v>
      </c>
      <c r="R74" s="21" t="str">
        <f t="shared" si="96"/>
        <v>18:00</v>
      </c>
      <c r="S74" s="21"/>
      <c r="T74" s="21"/>
      <c r="U74" s="21">
        <v>0.6041666666666666</v>
      </c>
      <c r="V74" s="21" t="str">
        <f t="shared" si="97"/>
        <v>15:00</v>
      </c>
      <c r="W74" s="21"/>
      <c r="X74" s="21"/>
      <c r="Y74" s="22" t="str">
        <f t="shared" si="98"/>
        <v>5.0</v>
      </c>
      <c r="Z74" s="22" t="str">
        <f t="shared" ref="Z74:AC74" si="103">$P74</f>
        <v>8.0</v>
      </c>
      <c r="AA74" s="22" t="str">
        <f t="shared" si="103"/>
        <v>8.0</v>
      </c>
      <c r="AB74" s="22" t="str">
        <f t="shared" si="103"/>
        <v>8.0</v>
      </c>
      <c r="AC74" s="22" t="str">
        <f t="shared" si="103"/>
        <v>8.0</v>
      </c>
      <c r="AD74" s="23" t="str">
        <f t="shared" si="4"/>
        <v>45</v>
      </c>
    </row>
    <row r="75" ht="15.75" customHeight="1">
      <c r="B75" s="18">
        <v>73.0</v>
      </c>
      <c r="C75" s="18" t="s">
        <v>38</v>
      </c>
      <c r="D75" s="19"/>
      <c r="E75" s="20" t="str">
        <f>Personal!G75</f>
        <v>-</v>
      </c>
      <c r="F75" s="20" t="s">
        <v>13</v>
      </c>
      <c r="G75" s="20" t="s">
        <v>41</v>
      </c>
      <c r="H75" s="24"/>
      <c r="I75" s="24"/>
      <c r="J75" s="24"/>
      <c r="K75" s="24" t="str">
        <f>IF(G75="AGENTE",'Semana 1'!$J75+0.042,IF(G75="REDES",'Semana 1'!$J75+0.042,IF(G75="AGENTE RM",'Semana 1'!$J75+0.042,IF(G75="AGENTE APERTURA",'Semana 1'!$J75+0.021,IF(G75="AGENTE CIERRE",'Semana 1'!$J75+0.021," - ")))))</f>
        <v> - </v>
      </c>
      <c r="L75" s="24"/>
      <c r="M75" s="24" t="str">
        <f>IF(G75="AGENTE",'Semana 1'!$L75+0.014,IF(G75="REDES",'Semana 1'!$L75+0.014,IF(G75="AGENTE RM",'Semana 1'!$L75+0.014,IF(G75="AGENTE APERTURA",'Semana 1'!$L75+0.014,IF(G75="AGENTE CIERRE",'Semana 1'!$L75+0.014," - ")))))</f>
        <v> - </v>
      </c>
      <c r="N75" s="24"/>
      <c r="O75" s="24" t="str">
        <f>IF(G75="AGENTE",'Semana 1'!$N75+0.007,IF(G75="REDES",'Semana 1'!$N75+0.007,IF(G75="AGENTE RM",'Semana 1'!$N75+0.007,IF(G75="AGENTE APERTURA",'Semana 1'!$N75+0.007,IF(G75="AGENTE CIERRE",'Semana 1'!$N75+0.007," - ")))))</f>
        <v> - </v>
      </c>
      <c r="P75" s="25" t="str">
        <f t="shared" si="2"/>
        <v>-1.0</v>
      </c>
      <c r="Q75" s="24"/>
      <c r="R75" s="24"/>
      <c r="S75" s="26"/>
      <c r="T75" s="26" t="str">
        <f>IF(G75="AGENTE",'Semana 1'!$S75+0.042,IF(G75="REDES",'Semana 1'!$S75+0.042,IF(G75="AGENTE RM",'Semana 1'!$S75+0.042,IF(G75="AGENTE APERTURA",'Semana 1'!$S75+0.021,IF(G75="AGENTE CIERRE",'Semana 1'!$S75+0.021," - ")))))</f>
        <v> - </v>
      </c>
      <c r="U75" s="24"/>
      <c r="V75" s="24"/>
      <c r="W75" s="26"/>
      <c r="X75" s="26"/>
      <c r="Y75" s="25" t="str">
        <f t="shared" si="98"/>
        <v>0.0</v>
      </c>
      <c r="Z75" s="25" t="str">
        <f t="shared" ref="Z75:AC75" si="104">$P75</f>
        <v>-1.0</v>
      </c>
      <c r="AA75" s="25" t="str">
        <f t="shared" si="104"/>
        <v>-1.0</v>
      </c>
      <c r="AB75" s="25" t="str">
        <f t="shared" si="104"/>
        <v>-1.0</v>
      </c>
      <c r="AC75" s="25" t="str">
        <f t="shared" si="104"/>
        <v>-1.0</v>
      </c>
      <c r="AD75" s="27" t="str">
        <f t="shared" si="4"/>
        <v>-5</v>
      </c>
    </row>
    <row r="76" ht="15.75" customHeight="1">
      <c r="B76" s="18">
        <v>74.0</v>
      </c>
      <c r="C76" s="18" t="s">
        <v>38</v>
      </c>
      <c r="D76" s="19"/>
      <c r="E76" s="20" t="str">
        <f>Personal!G76</f>
        <v>Cristian Manuel Lopez Chavez</v>
      </c>
      <c r="F76" s="20" t="s">
        <v>13</v>
      </c>
      <c r="G76" s="20" t="str">
        <f>Personal!H76</f>
        <v>AGENTE</v>
      </c>
      <c r="H76" s="21">
        <v>0.2916666666666667</v>
      </c>
      <c r="I76" s="21" t="str">
        <f>IF(H76=0," ",IF(Q76=0,(H76+0.417),(H76+0.3756)))</f>
        <v>16:00</v>
      </c>
      <c r="J76" s="21">
        <v>0.5</v>
      </c>
      <c r="K76" s="21" t="str">
        <f>IF(G76="AGENTE",'Semana 1'!$J76+0.042,IF(G76="REDES",'Semana 1'!$J76+0.042,IF(G76="AGENTE RM",'Semana 1'!$J76+0.042,IF(G76="AGENTE APERTURA",'Semana 1'!$J76+0.021,IF(G76="AGENTE CIERRE",'Semana 1'!$J76+0.021," - ")))))</f>
        <v>13:00</v>
      </c>
      <c r="L76" s="21">
        <v>0.3645833333333333</v>
      </c>
      <c r="M76" s="21" t="str">
        <f>IF(G76="AGENTE",'Semana 1'!$L76+0.014,IF(G76="REDES",'Semana 1'!$L76+0.014,IF(G76="AGENTE RM",'Semana 1'!$L76+0.014,IF(G76="AGENTE APERTURA",'Semana 1'!$L76+0.014,IF(G76="AGENTE CIERRE",'Semana 1'!$L76+0.014," - ")))))</f>
        <v>9:05</v>
      </c>
      <c r="N76" s="21">
        <v>0.6458333333333334</v>
      </c>
      <c r="O76" s="21" t="str">
        <f>IF(G76="AGENTE",'Semana 1'!$N76+0.007,IF(G76="REDES",'Semana 1'!$N76+0.007,IF(G76="AGENTE RM",'Semana 1'!$N76+0.007,IF(G76="AGENTE APERTURA",'Semana 1'!$N76+0.007,IF(G76="AGENTE CIERRE",'Semana 1'!$N76+0.007," - ")))))</f>
        <v>15:40</v>
      </c>
      <c r="P76" s="22" t="str">
        <f t="shared" si="2"/>
        <v>8.0</v>
      </c>
      <c r="Q76" s="21">
        <v>0.5</v>
      </c>
      <c r="R76" s="21" t="str">
        <f>IF(Q76=0,"",Q76+0.209)</f>
        <v>17:00</v>
      </c>
      <c r="S76" s="28"/>
      <c r="T76" s="28"/>
      <c r="U76" s="21">
        <v>0.5</v>
      </c>
      <c r="V76" s="21" t="str">
        <f>IF(U76=0,"",U76+0.021)</f>
        <v>12:30</v>
      </c>
      <c r="W76" s="28"/>
      <c r="X76" s="28"/>
      <c r="Y76" s="22" t="str">
        <f t="shared" si="98"/>
        <v>5.0</v>
      </c>
      <c r="Z76" s="22" t="str">
        <f t="shared" ref="Z76:AC76" si="105">$P76</f>
        <v>8.0</v>
      </c>
      <c r="AA76" s="22" t="str">
        <f t="shared" si="105"/>
        <v>8.0</v>
      </c>
      <c r="AB76" s="22" t="str">
        <f t="shared" si="105"/>
        <v>8.0</v>
      </c>
      <c r="AC76" s="22" t="str">
        <f t="shared" si="105"/>
        <v>8.0</v>
      </c>
      <c r="AD76" s="23" t="str">
        <f t="shared" si="4"/>
        <v>45</v>
      </c>
    </row>
    <row r="77" ht="15.75" customHeight="1">
      <c r="B77" s="18">
        <v>75.0</v>
      </c>
      <c r="C77" s="18" t="s">
        <v>38</v>
      </c>
      <c r="D77" s="19"/>
      <c r="E77" s="20" t="str">
        <f>Personal!G77</f>
        <v>-</v>
      </c>
      <c r="F77" s="20" t="s">
        <v>13</v>
      </c>
      <c r="G77" s="20" t="s">
        <v>41</v>
      </c>
      <c r="H77" s="24"/>
      <c r="I77" s="24"/>
      <c r="J77" s="24"/>
      <c r="K77" s="24" t="str">
        <f>IF(G77="AGENTE",'Semana 1'!$J77+0.042,IF(G77="REDES",'Semana 1'!$J77+0.042,IF(G77="AGENTE RM",'Semana 1'!$J77+0.042,IF(G77="AGENTE APERTURA",'Semana 1'!$J77+0.021,IF(G77="AGENTE CIERRE",'Semana 1'!$J77+0.021," - ")))))</f>
        <v> - </v>
      </c>
      <c r="L77" s="24"/>
      <c r="M77" s="24" t="str">
        <f>IF(G77="AGENTE",'Semana 1'!$L77+0.014,IF(G77="REDES",'Semana 1'!$L77+0.014,IF(G77="AGENTE RM",'Semana 1'!$L77+0.014,IF(G77="AGENTE APERTURA",'Semana 1'!$L77+0.014,IF(G77="AGENTE CIERRE",'Semana 1'!$L77+0.014," - ")))))</f>
        <v> - </v>
      </c>
      <c r="N77" s="24"/>
      <c r="O77" s="24" t="str">
        <f>IF(G77="AGENTE",'Semana 1'!$N77+0.007,IF(G77="REDES",'Semana 1'!$N77+0.007,IF(G77="AGENTE RM",'Semana 1'!$N77+0.007,IF(G77="AGENTE APERTURA",'Semana 1'!$N77+0.007,IF(G77="AGENTE CIERRE",'Semana 1'!$N77+0.007," - ")))))</f>
        <v> - </v>
      </c>
      <c r="P77" s="25" t="str">
        <f t="shared" si="2"/>
        <v>-1.0</v>
      </c>
      <c r="Q77" s="24"/>
      <c r="R77" s="24"/>
      <c r="S77" s="26"/>
      <c r="T77" s="26" t="str">
        <f>IF(G77="AGENTE",'Semana 1'!$S77+0.042,IF(G77="REDES",'Semana 1'!$S77+0.042,IF(G77="AGENTE RM",'Semana 1'!$S77+0.042,IF(G77="AGENTE APERTURA",'Semana 1'!$S77+0.021,IF(G77="AGENTE CIERRE",'Semana 1'!$S77+0.021," - ")))))</f>
        <v> - </v>
      </c>
      <c r="U77" s="24"/>
      <c r="V77" s="24"/>
      <c r="W77" s="26"/>
      <c r="X77" s="26"/>
      <c r="Y77" s="25" t="str">
        <f t="shared" si="98"/>
        <v>0.0</v>
      </c>
      <c r="Z77" s="25" t="str">
        <f t="shared" ref="Z77:AC77" si="106">$P77</f>
        <v>-1.0</v>
      </c>
      <c r="AA77" s="25" t="str">
        <f t="shared" si="106"/>
        <v>-1.0</v>
      </c>
      <c r="AB77" s="25" t="str">
        <f t="shared" si="106"/>
        <v>-1.0</v>
      </c>
      <c r="AC77" s="25" t="str">
        <f t="shared" si="106"/>
        <v>-1.0</v>
      </c>
      <c r="AD77" s="27" t="str">
        <f t="shared" si="4"/>
        <v>-5</v>
      </c>
    </row>
    <row r="78" ht="15.75" customHeight="1">
      <c r="B78" s="18">
        <v>76.0</v>
      </c>
      <c r="C78" s="18" t="s">
        <v>38</v>
      </c>
      <c r="D78" s="19"/>
      <c r="E78" s="20" t="str">
        <f>Personal!G78</f>
        <v>Melanee Sucely Lopez Castro</v>
      </c>
      <c r="F78" s="20" t="s">
        <v>13</v>
      </c>
      <c r="G78" s="20" t="str">
        <f>Personal!H78</f>
        <v>AGENTE</v>
      </c>
      <c r="H78" s="21">
        <v>0.3125</v>
      </c>
      <c r="I78" s="21" t="str">
        <f t="shared" ref="I78:I79" si="108">IF(H78=0," ",IF(Q78=0,(H78+0.417),(H78+0.3756)))</f>
        <v>16:30</v>
      </c>
      <c r="J78" s="21">
        <v>0.5416666666666666</v>
      </c>
      <c r="K78" s="21" t="str">
        <f>IF(G78="AGENTE",'Semana 1'!$J78+0.042,IF(G78="REDES",'Semana 1'!$J78+0.042,IF(G78="AGENTE RM",'Semana 1'!$J78+0.042,IF(G78="AGENTE APERTURA",'Semana 1'!$J78+0.021,IF(G78="AGENTE CIERRE",'Semana 1'!$J78+0.021," - ")))))</f>
        <v>14:00</v>
      </c>
      <c r="L78" s="21">
        <v>0.3645833333333333</v>
      </c>
      <c r="M78" s="21" t="str">
        <f>IF(G78="AGENTE",'Semana 1'!$L78+0.014,IF(G78="REDES",'Semana 1'!$L78+0.014,IF(G78="AGENTE RM",'Semana 1'!$L78+0.014,IF(G78="AGENTE APERTURA",'Semana 1'!$L78+0.014,IF(G78="AGENTE CIERRE",'Semana 1'!$L78+0.014," - ")))))</f>
        <v>9:05</v>
      </c>
      <c r="N78" s="21">
        <v>0.625</v>
      </c>
      <c r="O78" s="21" t="str">
        <f>IF(G78="AGENTE",'Semana 1'!$N78+0.007,IF(G78="REDES",'Semana 1'!$N78+0.007,IF(G78="AGENTE RM",'Semana 1'!$N78+0.007,IF(G78="AGENTE APERTURA",'Semana 1'!$N78+0.007,IF(G78="AGENTE CIERRE",'Semana 1'!$N78+0.007," - ")))))</f>
        <v>15:10</v>
      </c>
      <c r="P78" s="22" t="str">
        <f t="shared" si="2"/>
        <v>8.0</v>
      </c>
      <c r="Q78" s="21">
        <v>0.3333333333333333</v>
      </c>
      <c r="R78" s="21" t="str">
        <f t="shared" ref="R78:R79" si="109">IF(Q78=0,"",Q78+0.209)</f>
        <v>13:00</v>
      </c>
      <c r="S78" s="21"/>
      <c r="T78" s="21"/>
      <c r="U78" s="21">
        <v>0.4166666666666667</v>
      </c>
      <c r="V78" s="21" t="str">
        <f t="shared" ref="V78:V79" si="110">IF(U78=0,"",U78+0.021)</f>
        <v>10:30</v>
      </c>
      <c r="W78" s="21"/>
      <c r="X78" s="21"/>
      <c r="Y78" s="22" t="str">
        <f t="shared" si="98"/>
        <v>5.0</v>
      </c>
      <c r="Z78" s="22" t="str">
        <f t="shared" ref="Z78:AC78" si="107">$P78</f>
        <v>8.0</v>
      </c>
      <c r="AA78" s="22" t="str">
        <f t="shared" si="107"/>
        <v>8.0</v>
      </c>
      <c r="AB78" s="22" t="str">
        <f t="shared" si="107"/>
        <v>8.0</v>
      </c>
      <c r="AC78" s="22" t="str">
        <f t="shared" si="107"/>
        <v>8.0</v>
      </c>
      <c r="AD78" s="23" t="str">
        <f t="shared" si="4"/>
        <v>45</v>
      </c>
    </row>
    <row r="79" ht="15.75" customHeight="1">
      <c r="B79" s="18">
        <v>77.0</v>
      </c>
      <c r="C79" s="18" t="s">
        <v>38</v>
      </c>
      <c r="D79" s="19"/>
      <c r="E79" s="20" t="str">
        <f>Personal!G79</f>
        <v>Byron Estuardo Grijalva Salguero</v>
      </c>
      <c r="F79" s="20" t="s">
        <v>13</v>
      </c>
      <c r="G79" s="20" t="str">
        <f>Personal!H79</f>
        <v>AGENTE</v>
      </c>
      <c r="H79" s="24">
        <v>0.375</v>
      </c>
      <c r="I79" s="24" t="str">
        <f t="shared" si="108"/>
        <v>18:00</v>
      </c>
      <c r="J79" s="24">
        <v>0.5833333333333334</v>
      </c>
      <c r="K79" s="24" t="str">
        <f>IF(G79="AGENTE",'Semana 1'!$J79+0.042,IF(G79="REDES",'Semana 1'!$J79+0.042,IF(G79="AGENTE RM",'Semana 1'!$J79+0.042,IF(G79="AGENTE APERTURA",'Semana 1'!$J79+0.021,IF(G79="AGENTE CIERRE",'Semana 1'!$J79+0.021," - ")))))</f>
        <v>15:00</v>
      </c>
      <c r="L79" s="24">
        <v>0.40625</v>
      </c>
      <c r="M79" s="24" t="str">
        <f>IF(G79="AGENTE",'Semana 1'!$L79+0.014,IF(G79="REDES",'Semana 1'!$L79+0.014,IF(G79="AGENTE RM",'Semana 1'!$L79+0.014,IF(G79="AGENTE APERTURA",'Semana 1'!$L79+0.014,IF(G79="AGENTE CIERRE",'Semana 1'!$L79+0.014," - ")))))</f>
        <v>10:05</v>
      </c>
      <c r="N79" s="24">
        <v>0.6979166666666666</v>
      </c>
      <c r="O79" s="24" t="str">
        <f>IF(G79="AGENTE",'Semana 1'!$N79+0.007,IF(G79="REDES",'Semana 1'!$N79+0.007,IF(G79="AGENTE RM",'Semana 1'!$N79+0.007,IF(G79="AGENTE APERTURA",'Semana 1'!$N79+0.007,IF(G79="AGENTE CIERRE",'Semana 1'!$N79+0.007," - ")))))</f>
        <v>16:55</v>
      </c>
      <c r="P79" s="25" t="str">
        <f t="shared" si="2"/>
        <v>8.0</v>
      </c>
      <c r="Q79" s="24">
        <v>0.2916666666666667</v>
      </c>
      <c r="R79" s="24" t="str">
        <f t="shared" si="109"/>
        <v>12:00</v>
      </c>
      <c r="S79" s="26"/>
      <c r="T79" s="26"/>
      <c r="U79" s="24">
        <v>0.3958333333333333</v>
      </c>
      <c r="V79" s="24" t="str">
        <f t="shared" si="110"/>
        <v>10:00</v>
      </c>
      <c r="W79" s="26"/>
      <c r="X79" s="26"/>
      <c r="Y79" s="25" t="str">
        <f t="shared" si="98"/>
        <v>5.0</v>
      </c>
      <c r="Z79" s="25" t="str">
        <f t="shared" ref="Z79:AC79" si="111">$P79</f>
        <v>8.0</v>
      </c>
      <c r="AA79" s="25" t="str">
        <f t="shared" si="111"/>
        <v>8.0</v>
      </c>
      <c r="AB79" s="25" t="str">
        <f t="shared" si="111"/>
        <v>8.0</v>
      </c>
      <c r="AC79" s="25" t="str">
        <f t="shared" si="111"/>
        <v>8.0</v>
      </c>
      <c r="AD79" s="27" t="str">
        <f t="shared" si="4"/>
        <v>45</v>
      </c>
    </row>
    <row r="80" ht="15.75" customHeight="1">
      <c r="B80" s="18">
        <v>78.0</v>
      </c>
      <c r="C80" s="18" t="s">
        <v>38</v>
      </c>
      <c r="D80" s="19"/>
      <c r="E80" s="20" t="str">
        <f>Personal!G80</f>
        <v>Katherine Johana Chavez Deleon</v>
      </c>
      <c r="F80" s="20" t="s">
        <v>13</v>
      </c>
      <c r="G80" s="20" t="str">
        <f>Personal!H80</f>
        <v>AGENTE CIERRE</v>
      </c>
      <c r="H80" s="21">
        <v>0.6666666666666666</v>
      </c>
      <c r="I80" s="21">
        <v>0.9583333333333334</v>
      </c>
      <c r="J80" s="21">
        <v>0.9166666666666666</v>
      </c>
      <c r="K80" s="21" t="str">
        <f>IF(G80="AGENTE",'Semana 1'!$J80+0.042,IF(G80="REDES",'Semana 1'!$J80+0.042,IF(G80="AGENTE RM",'Semana 1'!$J80+0.042,IF(G80="AGENTE APERTURA",'Semana 1'!$J80+0.021,IF(G80="AGENTE CIERRE",'Semana 1'!$J80+0.021," - ")))))</f>
        <v>22:30</v>
      </c>
      <c r="L80" s="21">
        <v>0.9375</v>
      </c>
      <c r="M80" s="21" t="str">
        <f>IF(G80="AGENTE",'Semana 1'!$L80+0.014,IF(G80="REDES",'Semana 1'!$L80+0.014,IF(G80="AGENTE RM",'Semana 1'!$L80+0.014,IF(G80="AGENTE APERTURA",'Semana 1'!$L80+0.014,IF(G80="AGENTE CIERRE",'Semana 1'!$L80+0.014," - ")))))</f>
        <v>22:50</v>
      </c>
      <c r="N80" s="21">
        <v>0.9513888888888888</v>
      </c>
      <c r="O80" s="21" t="str">
        <f>IF(G80="AGENTE",'Semana 1'!$N80+0.007,IF(G80="REDES",'Semana 1'!$N80+0.007,IF(G80="AGENTE RM",'Semana 1'!$N80+0.007,IF(G80="AGENTE APERTURA",'Semana 1'!$N80+0.007,IF(G80="AGENTE CIERRE",'Semana 1'!$N80+0.007," - ")))))</f>
        <v>23:00</v>
      </c>
      <c r="P80" s="22" t="str">
        <f t="shared" si="2"/>
        <v>6.0</v>
      </c>
      <c r="Q80" s="21">
        <v>0.6666666666666666</v>
      </c>
      <c r="R80" s="21">
        <v>0.9583333333333334</v>
      </c>
      <c r="S80" s="21">
        <v>0.9166666666666666</v>
      </c>
      <c r="T80" s="21">
        <v>0.9376666666666666</v>
      </c>
      <c r="U80" s="21">
        <v>0.9375</v>
      </c>
      <c r="V80" s="21">
        <v>0.9515</v>
      </c>
      <c r="W80" s="21">
        <v>0.9513888888888888</v>
      </c>
      <c r="X80" s="21">
        <v>0.9583888888888888</v>
      </c>
      <c r="Y80" s="22" t="str">
        <f>(IFERROR(R80-Q80,0)*24)-1</f>
        <v>6.0</v>
      </c>
      <c r="Z80" s="22" t="str">
        <f t="shared" ref="Z80:AC80" si="112">$P80</f>
        <v>6.0</v>
      </c>
      <c r="AA80" s="22" t="str">
        <f t="shared" si="112"/>
        <v>6.0</v>
      </c>
      <c r="AB80" s="22" t="str">
        <f t="shared" si="112"/>
        <v>6.0</v>
      </c>
      <c r="AC80" s="22" t="str">
        <f t="shared" si="112"/>
        <v>6.0</v>
      </c>
      <c r="AD80" s="23" t="str">
        <f t="shared" si="4"/>
        <v>36</v>
      </c>
    </row>
    <row r="81" ht="15.75" customHeight="1">
      <c r="B81" s="18">
        <v>79.0</v>
      </c>
      <c r="C81" s="18" t="s">
        <v>38</v>
      </c>
      <c r="D81" s="19"/>
      <c r="E81" s="20" t="str">
        <f>Personal!G81</f>
        <v>Cinthia Marbelly Lopez Zelada</v>
      </c>
      <c r="F81" s="20" t="s">
        <v>13</v>
      </c>
      <c r="G81" s="20" t="str">
        <f>Personal!H81</f>
        <v>AGENTE</v>
      </c>
      <c r="H81" s="24">
        <v>0.375</v>
      </c>
      <c r="I81" s="24" t="str">
        <f>IF(H81=0," ",IF(Q81=0,(H81+0.417),(H81+0.3756)))</f>
        <v>18:00</v>
      </c>
      <c r="J81" s="24">
        <v>0.5833333333333334</v>
      </c>
      <c r="K81" s="24" t="str">
        <f>IF(G81="AGENTE",'Semana 1'!$J81+0.042,IF(G81="REDES",'Semana 1'!$J81+0.042,IF(G81="AGENTE RM",'Semana 1'!$J81+0.042,IF(G81="AGENTE APERTURA",'Semana 1'!$J81+0.021,IF(G81="AGENTE CIERRE",'Semana 1'!$J81+0.021," - ")))))</f>
        <v>15:00</v>
      </c>
      <c r="L81" s="24">
        <v>0.40625</v>
      </c>
      <c r="M81" s="24" t="str">
        <f>IF(G81="AGENTE",'Semana 1'!$L81+0.014,IF(G81="REDES",'Semana 1'!$L81+0.014,IF(G81="AGENTE RM",'Semana 1'!$L81+0.014,IF(G81="AGENTE APERTURA",'Semana 1'!$L81+0.014,IF(G81="AGENTE CIERRE",'Semana 1'!$L81+0.014," - ")))))</f>
        <v>10:05</v>
      </c>
      <c r="N81" s="24">
        <v>0.6979166666666666</v>
      </c>
      <c r="O81" s="24" t="str">
        <f>IF(G81="AGENTE",'Semana 1'!$N81+0.007,IF(G81="REDES",'Semana 1'!$N81+0.007,IF(G81="AGENTE RM",'Semana 1'!$N81+0.007,IF(G81="AGENTE APERTURA",'Semana 1'!$N81+0.007,IF(G81="AGENTE CIERRE",'Semana 1'!$N81+0.007," - ")))))</f>
        <v>16:55</v>
      </c>
      <c r="P81" s="25" t="str">
        <f t="shared" si="2"/>
        <v>8.0</v>
      </c>
      <c r="Q81" s="24">
        <v>0.4583333333333333</v>
      </c>
      <c r="R81" s="24" t="str">
        <f>IF(Q81=0,"",Q81+0.209)</f>
        <v>16:00</v>
      </c>
      <c r="S81" s="26"/>
      <c r="T81" s="26"/>
      <c r="U81" s="24">
        <v>0.5833333333333334</v>
      </c>
      <c r="V81" s="24" t="str">
        <f>IF(U81=0,"",U81+0.021)</f>
        <v>14:30</v>
      </c>
      <c r="W81" s="26"/>
      <c r="X81" s="26"/>
      <c r="Y81" s="25" t="str">
        <f>(IFERROR(R81-Q81,0)*24)</f>
        <v>5.0</v>
      </c>
      <c r="Z81" s="25" t="str">
        <f t="shared" ref="Z81:AC81" si="113">$P81</f>
        <v>8.0</v>
      </c>
      <c r="AA81" s="25" t="str">
        <f t="shared" si="113"/>
        <v>8.0</v>
      </c>
      <c r="AB81" s="25" t="str">
        <f t="shared" si="113"/>
        <v>8.0</v>
      </c>
      <c r="AC81" s="25" t="str">
        <f t="shared" si="113"/>
        <v>8.0</v>
      </c>
      <c r="AD81" s="27" t="str">
        <f t="shared" si="4"/>
        <v>45</v>
      </c>
    </row>
    <row r="82" ht="15.75" customHeight="1">
      <c r="B82" s="18">
        <v>80.0</v>
      </c>
      <c r="C82" s="18" t="s">
        <v>38</v>
      </c>
      <c r="D82" s="19"/>
      <c r="E82" s="20" t="str">
        <f>Personal!G82</f>
        <v>-</v>
      </c>
      <c r="F82" s="20" t="s">
        <v>13</v>
      </c>
      <c r="G82" s="20"/>
      <c r="H82" s="21"/>
      <c r="I82" s="21"/>
      <c r="J82" s="21"/>
      <c r="K82" s="21" t="str">
        <f>IF(G82="AGENTE",'Semana 1'!$J82+0.042,IF(G82="REDES",'Semana 1'!$J82+0.042,IF(G82="AGENTE RM",'Semana 1'!$J82+0.042,IF(G82="AGENTE APERTURA",'Semana 1'!$J82+0.021,IF(G82="AGENTE CIERRE",'Semana 1'!$J82+0.021," - ")))))</f>
        <v> - </v>
      </c>
      <c r="L82" s="21"/>
      <c r="M82" s="21" t="str">
        <f>IF(G82="AGENTE",'Semana 1'!$L82+0.014,IF(G82="REDES",'Semana 1'!$L82+0.014,IF(G82="AGENTE RM",'Semana 1'!$L82+0.014,IF(G82="AGENTE APERTURA",'Semana 1'!$L82+0.014,IF(G82="AGENTE CIERRE",'Semana 1'!$L82+0.014," - ")))))</f>
        <v> - </v>
      </c>
      <c r="N82" s="21"/>
      <c r="O82" s="21" t="str">
        <f>IF(G82="AGENTE",'Semana 1'!$N82+0.007,IF(G82="REDES",'Semana 1'!$N82+0.007,IF(G82="AGENTE RM",'Semana 1'!$N82+0.007,IF(G82="AGENTE APERTURA",'Semana 1'!$N82+0.007,IF(G82="AGENTE CIERRE",'Semana 1'!$N82+0.007," - ")))))</f>
        <v> - </v>
      </c>
      <c r="P82" s="22"/>
      <c r="Q82" s="21"/>
      <c r="R82" s="21"/>
      <c r="S82" s="21"/>
      <c r="T82" s="21"/>
      <c r="U82" s="21"/>
      <c r="V82" s="21"/>
      <c r="W82" s="21"/>
      <c r="X82" s="21"/>
      <c r="Y82" s="22"/>
      <c r="Z82" s="22"/>
      <c r="AA82" s="22"/>
      <c r="AB82" s="22"/>
      <c r="AC82" s="22"/>
      <c r="AD82" s="23"/>
    </row>
    <row r="83" ht="15.75" customHeight="1">
      <c r="B83" s="18">
        <v>81.0</v>
      </c>
      <c r="C83" s="18" t="s">
        <v>38</v>
      </c>
      <c r="D83" s="19"/>
      <c r="E83" s="20" t="str">
        <f>Personal!G83</f>
        <v>-</v>
      </c>
      <c r="F83" s="20" t="s">
        <v>13</v>
      </c>
      <c r="G83" s="20"/>
      <c r="H83" s="24"/>
      <c r="I83" s="24"/>
      <c r="J83" s="24"/>
      <c r="K83" s="24" t="str">
        <f>IF(G83="AGENTE",'Semana 1'!$J83+0.042,IF(G83="REDES",'Semana 1'!$J83+0.042,IF(G83="AGENTE RM",'Semana 1'!$J83+0.042,IF(G83="AGENTE APERTURA",'Semana 1'!$J83+0.021,IF(G83="AGENTE CIERRE",'Semana 1'!$J83+0.021," - ")))))</f>
        <v> - </v>
      </c>
      <c r="L83" s="24"/>
      <c r="M83" s="24" t="str">
        <f>IF(G83="AGENTE",'Semana 1'!$L83+0.014,IF(G83="REDES",'Semana 1'!$L83+0.014,IF(G83="AGENTE RM",'Semana 1'!$L83+0.014,IF(G83="AGENTE APERTURA",'Semana 1'!$L83+0.014,IF(G83="AGENTE CIERRE",'Semana 1'!$L83+0.014," - ")))))</f>
        <v> - </v>
      </c>
      <c r="N83" s="24"/>
      <c r="O83" s="24" t="str">
        <f>IF(G83="AGENTE",'Semana 1'!$N83+0.007,IF(G83="REDES",'Semana 1'!$N83+0.007,IF(G83="AGENTE RM",'Semana 1'!$N83+0.007,IF(G83="AGENTE APERTURA",'Semana 1'!$N83+0.007,IF(G83="AGENTE CIERRE",'Semana 1'!$N83+0.007," - ")))))</f>
        <v> - </v>
      </c>
      <c r="P83" s="25"/>
      <c r="Q83" s="24"/>
      <c r="R83" s="24"/>
      <c r="S83" s="26"/>
      <c r="T83" s="26"/>
      <c r="U83" s="24"/>
      <c r="V83" s="24"/>
      <c r="W83" s="26"/>
      <c r="X83" s="26"/>
      <c r="Y83" s="25"/>
      <c r="Z83" s="25"/>
      <c r="AA83" s="25"/>
      <c r="AB83" s="25"/>
      <c r="AC83" s="25"/>
      <c r="AD83" s="27"/>
    </row>
    <row r="84" ht="15.75" customHeight="1">
      <c r="B84" s="18">
        <v>82.0</v>
      </c>
      <c r="C84" s="18" t="s">
        <v>38</v>
      </c>
      <c r="D84" s="19"/>
      <c r="E84" s="20" t="str">
        <f>Personal!G84</f>
        <v>-</v>
      </c>
      <c r="F84" s="20" t="s">
        <v>13</v>
      </c>
      <c r="G84" s="20"/>
      <c r="H84" s="21"/>
      <c r="I84" s="21"/>
      <c r="J84" s="21"/>
      <c r="K84" s="21" t="str">
        <f>IF(G84="AGENTE",'Semana 1'!$J84+0.042,IF(G84="REDES",'Semana 1'!$J84+0.042,IF(G84="AGENTE RM",'Semana 1'!$J84+0.042,IF(G84="AGENTE APERTURA",'Semana 1'!$J84+0.021,IF(G84="AGENTE CIERRE",'Semana 1'!$J84+0.021," - ")))))</f>
        <v> - </v>
      </c>
      <c r="L84" s="21"/>
      <c r="M84" s="21" t="str">
        <f>IF(G84="AGENTE",'Semana 1'!$L84+0.014,IF(G84="REDES",'Semana 1'!$L84+0.014,IF(G84="AGENTE RM",'Semana 1'!$L84+0.014,IF(G84="AGENTE APERTURA",'Semana 1'!$L84+0.014,IF(G84="AGENTE CIERRE",'Semana 1'!$L84+0.014," - ")))))</f>
        <v> - </v>
      </c>
      <c r="N84" s="21"/>
      <c r="O84" s="21" t="str">
        <f>IF(G84="AGENTE",'Semana 1'!$N84+0.007,IF(G84="REDES",'Semana 1'!$N84+0.007,IF(G84="AGENTE RM",'Semana 1'!$N84+0.007,IF(G84="AGENTE APERTURA",'Semana 1'!$N84+0.007,IF(G84="AGENTE CIERRE",'Semana 1'!$N84+0.007," - ")))))</f>
        <v> - </v>
      </c>
      <c r="P84" s="22"/>
      <c r="Q84" s="21"/>
      <c r="R84" s="21"/>
      <c r="S84" s="28"/>
      <c r="T84" s="28"/>
      <c r="U84" s="21"/>
      <c r="V84" s="21"/>
      <c r="W84" s="28"/>
      <c r="X84" s="28"/>
      <c r="Y84" s="22"/>
      <c r="Z84" s="22"/>
      <c r="AA84" s="22"/>
      <c r="AB84" s="22"/>
      <c r="AC84" s="22"/>
      <c r="AD84" s="23"/>
    </row>
    <row r="85" ht="15.75" customHeight="1">
      <c r="B85" s="18">
        <v>83.0</v>
      </c>
      <c r="C85" s="18" t="s">
        <v>38</v>
      </c>
      <c r="D85" s="19"/>
      <c r="E85" s="29" t="str">
        <f>Personal!G85</f>
        <v/>
      </c>
      <c r="F85" s="29"/>
      <c r="G85" s="29"/>
      <c r="H85" s="30"/>
      <c r="I85" s="31"/>
      <c r="J85" s="30"/>
      <c r="K85" s="30" t="str">
        <f>IF(G85="AGENTE",'Semana 1'!$J85+0.042,IF(G85="REDES",'Semana 1'!$J85+0.042,IF(G85="AGENTE RM",'Semana 1'!$J85+0.042,IF(G85="AGENTE APERTURA",'Semana 1'!$J85+0.021,IF(G85="AGENTE CIERRE",'Semana 1'!$J85+0.021," - ")))))</f>
        <v> - </v>
      </c>
      <c r="L85" s="30"/>
      <c r="M85" s="30" t="str">
        <f>IF(G85="AGENTE",'Semana 1'!$L85+0.014,IF(G85="REDES",'Semana 1'!$L85+0.014,IF(G85="AGENTE RM",'Semana 1'!$L85+0.014,IF(G85="AGENTE APERTURA",'Semana 1'!$L85+0.014,IF(G85="AGENTE CIERRE",'Semana 1'!$L85+0.014," - ")))))</f>
        <v> - </v>
      </c>
      <c r="N85" s="30"/>
      <c r="O85" s="30" t="str">
        <f>IF(G85="AGENTE",'Semana 1'!$N85+0.007,IF(G85="REDES",'Semana 1'!$N85+0.007,IF(G85="AGENTE RM",'Semana 1'!$N85+0.007,IF(G85="AGENTE APERTURA",'Semana 1'!$N85+0.007,IF(G85="AGENTE CIERRE",'Semana 1'!$N85+0.007," - ")))))</f>
        <v> - </v>
      </c>
      <c r="P85" s="32"/>
      <c r="Q85" s="30"/>
      <c r="R85" s="30"/>
      <c r="S85" s="33"/>
      <c r="T85" s="33"/>
      <c r="U85" s="30"/>
      <c r="V85" s="30"/>
      <c r="W85" s="33"/>
      <c r="X85" s="33"/>
      <c r="Y85" s="32"/>
      <c r="Z85" s="32"/>
      <c r="AA85" s="32"/>
      <c r="AB85" s="32"/>
      <c r="AC85" s="32"/>
      <c r="AD85" s="27"/>
    </row>
    <row r="86" ht="15.75" customHeight="1">
      <c r="B86" s="18">
        <v>84.0</v>
      </c>
      <c r="C86" s="18" t="s">
        <v>38</v>
      </c>
      <c r="D86" s="19"/>
      <c r="E86" s="34" t="str">
        <f>Personal!G86</f>
        <v/>
      </c>
      <c r="F86" s="34"/>
      <c r="G86" s="34"/>
      <c r="H86" s="35"/>
      <c r="I86" s="36"/>
      <c r="J86" s="35"/>
      <c r="K86" s="35" t="str">
        <f>IF(G86="AGENTE",Tabla1[[#This Row],[1 Inicio Almuerzo Lunes]]+0.042,IF(G86="REDES",Tabla1[[#This Row],[1 Inicio Almuerzo Lunes]]+0.042,IF(G86="AGENTE RM",Tabla1[[#This Row],[1 Inicio Almuerzo Lunes]]+0.042,IF(G86="AGENTE APERTURA",Tabla1[[#This Row],[1 Inicio Almuerzo Lunes]]+0.021,IF(G86="AGENTE CIERRE",Tabla1[[#This Row],[1 Inicio Almuerzo Lunes]]+0.021," - ")))))</f>
        <v>#ERROR!</v>
      </c>
      <c r="L86" s="35"/>
      <c r="M86" s="35" t="str">
        <f>IF(G86="AGENTE",Tabla1[[#This Row],[1 Incio Break 1 Lunes]]+0.014,IF(G86="REDES",Tabla1[[#This Row],[1 Incio Break 1 Lunes]]+0.014,IF(G86="AGENTE RM",Tabla1[[#This Row],[1 Incio Break 1 Lunes]]+0.014,IF(G86="AGENTE APERTURA",Tabla1[[#This Row],[1 Incio Break 1 Lunes]]+0.014,IF(G86="AGENTE CIERRE",Tabla1[[#This Row],[1 Incio Break 1 Lunes]]+0.014," - ")))))</f>
        <v>#ERROR!</v>
      </c>
      <c r="N86" s="35"/>
      <c r="O86" s="35" t="str">
        <f>IF(G86="AGENTE",Tabla1[[#This Row],[1 Incio Break 2 Lunes]]+0.007,IF(G86="REDES",Tabla1[[#This Row],[1 Incio Break 2 Lunes]]+0.007,IF(G86="AGENTE RM",Tabla1[[#This Row],[1 Incio Break 2 Lunes]]+0.007,IF(G86="AGENTE APERTURA",Tabla1[[#This Row],[1 Incio Break 2 Lunes]]+0.007,IF(G86="AGENTE CIERRE",Tabla1[[#This Row],[1 Incio Break 2 Lunes]]+0.007," - ")))))</f>
        <v>#ERROR!</v>
      </c>
      <c r="P86" s="37"/>
      <c r="Q86" s="35"/>
      <c r="R86" s="35"/>
      <c r="S86" s="38"/>
      <c r="T86" s="38"/>
      <c r="U86" s="35"/>
      <c r="V86" s="35"/>
      <c r="W86" s="38"/>
      <c r="X86" s="38"/>
      <c r="Y86" s="37"/>
      <c r="Z86" s="37"/>
      <c r="AA86" s="37"/>
      <c r="AB86" s="37"/>
      <c r="AC86" s="37"/>
      <c r="AD86" s="27"/>
    </row>
    <row r="87" ht="15.75" customHeight="1">
      <c r="B87" s="18">
        <v>85.0</v>
      </c>
      <c r="C87" s="18" t="s">
        <v>38</v>
      </c>
      <c r="D87" s="19"/>
      <c r="E87" s="34" t="str">
        <f>Personal!G87</f>
        <v/>
      </c>
      <c r="F87" s="34"/>
      <c r="G87" s="34"/>
      <c r="H87" s="35"/>
      <c r="I87" s="36"/>
      <c r="J87" s="35"/>
      <c r="K87" s="35" t="str">
        <f>IF(G87="AGENTE",Tabla1[[#This Row],[1 Inicio Almuerzo Lunes]]+0.042,IF(G87="REDES",Tabla1[[#This Row],[1 Inicio Almuerzo Lunes]]+0.042,IF(G87="AGENTE RM",Tabla1[[#This Row],[1 Inicio Almuerzo Lunes]]+0.042,IF(G87="AGENTE APERTURA",Tabla1[[#This Row],[1 Inicio Almuerzo Lunes]]+0.021,IF(G87="AGENTE CIERRE",Tabla1[[#This Row],[1 Inicio Almuerzo Lunes]]+0.021," - ")))))</f>
        <v>#ERROR!</v>
      </c>
      <c r="L87" s="35"/>
      <c r="M87" s="35" t="str">
        <f>IF(G87="AGENTE",Tabla1[[#This Row],[1 Incio Break 1 Lunes]]+0.014,IF(G87="REDES",Tabla1[[#This Row],[1 Incio Break 1 Lunes]]+0.014,IF(G87="AGENTE RM",Tabla1[[#This Row],[1 Incio Break 1 Lunes]]+0.014,IF(G87="AGENTE APERTURA",Tabla1[[#This Row],[1 Incio Break 1 Lunes]]+0.014,IF(G87="AGENTE CIERRE",Tabla1[[#This Row],[1 Incio Break 1 Lunes]]+0.014," - ")))))</f>
        <v>#ERROR!</v>
      </c>
      <c r="N87" s="35"/>
      <c r="O87" s="35" t="str">
        <f>IF(G87="AGENTE",Tabla1[[#This Row],[1 Incio Break 2 Lunes]]+0.007,IF(G87="REDES",Tabla1[[#This Row],[1 Incio Break 2 Lunes]]+0.007,IF(G87="AGENTE RM",Tabla1[[#This Row],[1 Incio Break 2 Lunes]]+0.007,IF(G87="AGENTE APERTURA",Tabla1[[#This Row],[1 Incio Break 2 Lunes]]+0.007,IF(G87="AGENTE CIERRE",Tabla1[[#This Row],[1 Incio Break 2 Lunes]]+0.007," - ")))))</f>
        <v>#ERROR!</v>
      </c>
      <c r="P87" s="37"/>
      <c r="Q87" s="35"/>
      <c r="R87" s="35"/>
      <c r="S87" s="38"/>
      <c r="T87" s="38"/>
      <c r="U87" s="35"/>
      <c r="V87" s="35"/>
      <c r="W87" s="38"/>
      <c r="X87" s="38"/>
      <c r="Y87" s="37"/>
      <c r="Z87" s="37"/>
      <c r="AA87" s="37"/>
      <c r="AB87" s="37"/>
      <c r="AC87" s="37"/>
      <c r="AD87" s="27"/>
    </row>
    <row r="88" ht="15.75" customHeight="1">
      <c r="B88" s="18">
        <v>86.0</v>
      </c>
      <c r="C88" s="18" t="s">
        <v>38</v>
      </c>
      <c r="D88" s="19"/>
      <c r="E88" s="34" t="str">
        <f>Personal!G88</f>
        <v/>
      </c>
      <c r="F88" s="34"/>
      <c r="G88" s="34"/>
      <c r="H88" s="35"/>
      <c r="I88" s="36"/>
      <c r="J88" s="35"/>
      <c r="K88" s="35" t="str">
        <f>IF(G88="AGENTE",Tabla1[[#This Row],[1 Inicio Almuerzo Lunes]]+0.042,IF(G88="REDES",Tabla1[[#This Row],[1 Inicio Almuerzo Lunes]]+0.042,IF(G88="AGENTE RM",Tabla1[[#This Row],[1 Inicio Almuerzo Lunes]]+0.042,IF(G88="AGENTE APERTURA",Tabla1[[#This Row],[1 Inicio Almuerzo Lunes]]+0.021,IF(G88="AGENTE CIERRE",Tabla1[[#This Row],[1 Inicio Almuerzo Lunes]]+0.021," - ")))))</f>
        <v>#ERROR!</v>
      </c>
      <c r="L88" s="35"/>
      <c r="M88" s="35" t="str">
        <f>IF(G88="AGENTE",Tabla1[[#This Row],[1 Incio Break 1 Lunes]]+0.014,IF(G88="REDES",Tabla1[[#This Row],[1 Incio Break 1 Lunes]]+0.014,IF(G88="AGENTE RM",Tabla1[[#This Row],[1 Incio Break 1 Lunes]]+0.014,IF(G88="AGENTE APERTURA",Tabla1[[#This Row],[1 Incio Break 1 Lunes]]+0.014,IF(G88="AGENTE CIERRE",Tabla1[[#This Row],[1 Incio Break 1 Lunes]]+0.014," - ")))))</f>
        <v>#ERROR!</v>
      </c>
      <c r="N88" s="35"/>
      <c r="O88" s="35" t="str">
        <f>IF(G88="AGENTE",Tabla1[[#This Row],[1 Incio Break 2 Lunes]]+0.007,IF(G88="REDES",Tabla1[[#This Row],[1 Incio Break 2 Lunes]]+0.007,IF(G88="AGENTE RM",Tabla1[[#This Row],[1 Incio Break 2 Lunes]]+0.007,IF(G88="AGENTE APERTURA",Tabla1[[#This Row],[1 Incio Break 2 Lunes]]+0.007,IF(G88="AGENTE CIERRE",Tabla1[[#This Row],[1 Incio Break 2 Lunes]]+0.007," - ")))))</f>
        <v>#ERROR!</v>
      </c>
      <c r="P88" s="37"/>
      <c r="Q88" s="35"/>
      <c r="R88" s="35"/>
      <c r="S88" s="38"/>
      <c r="T88" s="38"/>
      <c r="U88" s="35"/>
      <c r="V88" s="35"/>
      <c r="W88" s="38"/>
      <c r="X88" s="38"/>
      <c r="Y88" s="37"/>
      <c r="Z88" s="37"/>
      <c r="AA88" s="37"/>
      <c r="AB88" s="37"/>
      <c r="AC88" s="37"/>
      <c r="AD88" s="27"/>
    </row>
    <row r="89" ht="15.75" customHeight="1">
      <c r="B89" s="18">
        <v>87.0</v>
      </c>
      <c r="C89" s="18" t="s">
        <v>38</v>
      </c>
      <c r="D89" s="19"/>
      <c r="E89" s="34" t="str">
        <f>Personal!G89</f>
        <v/>
      </c>
      <c r="F89" s="34"/>
      <c r="G89" s="34"/>
      <c r="H89" s="35"/>
      <c r="I89" s="36"/>
      <c r="J89" s="35"/>
      <c r="K89" s="35" t="str">
        <f>IF(G89="AGENTE",Tabla1[[#This Row],[1 Inicio Almuerzo Lunes]]+0.042,IF(G89="REDES",Tabla1[[#This Row],[1 Inicio Almuerzo Lunes]]+0.042,IF(G89="AGENTE RM",Tabla1[[#This Row],[1 Inicio Almuerzo Lunes]]+0.042,IF(G89="AGENTE APERTURA",Tabla1[[#This Row],[1 Inicio Almuerzo Lunes]]+0.021,IF(G89="AGENTE CIERRE",Tabla1[[#This Row],[1 Inicio Almuerzo Lunes]]+0.021," - ")))))</f>
        <v>#ERROR!</v>
      </c>
      <c r="L89" s="35"/>
      <c r="M89" s="35" t="str">
        <f>IF(G89="AGENTE",Tabla1[[#This Row],[1 Incio Break 1 Lunes]]+0.014,IF(G89="REDES",Tabla1[[#This Row],[1 Incio Break 1 Lunes]]+0.014,IF(G89="AGENTE RM",Tabla1[[#This Row],[1 Incio Break 1 Lunes]]+0.014,IF(G89="AGENTE APERTURA",Tabla1[[#This Row],[1 Incio Break 1 Lunes]]+0.014,IF(G89="AGENTE CIERRE",Tabla1[[#This Row],[1 Incio Break 1 Lunes]]+0.014," - ")))))</f>
        <v>#ERROR!</v>
      </c>
      <c r="N89" s="35"/>
      <c r="O89" s="35" t="str">
        <f>IF(G89="AGENTE",Tabla1[[#This Row],[1 Incio Break 2 Lunes]]+0.007,IF(G89="REDES",Tabla1[[#This Row],[1 Incio Break 2 Lunes]]+0.007,IF(G89="AGENTE RM",Tabla1[[#This Row],[1 Incio Break 2 Lunes]]+0.007,IF(G89="AGENTE APERTURA",Tabla1[[#This Row],[1 Incio Break 2 Lunes]]+0.007,IF(G89="AGENTE CIERRE",Tabla1[[#This Row],[1 Incio Break 2 Lunes]]+0.007," - ")))))</f>
        <v>#ERROR!</v>
      </c>
      <c r="P89" s="37"/>
      <c r="Q89" s="35"/>
      <c r="R89" s="35"/>
      <c r="S89" s="38"/>
      <c r="T89" s="38"/>
      <c r="U89" s="35"/>
      <c r="V89" s="35"/>
      <c r="W89" s="38"/>
      <c r="X89" s="38"/>
      <c r="Y89" s="37"/>
      <c r="Z89" s="37"/>
      <c r="AA89" s="37"/>
      <c r="AB89" s="37"/>
      <c r="AC89" s="37"/>
      <c r="AD89" s="27"/>
    </row>
    <row r="90" ht="15.75" customHeight="1">
      <c r="B90" s="18">
        <v>88.0</v>
      </c>
      <c r="C90" s="18" t="s">
        <v>38</v>
      </c>
      <c r="D90" s="19"/>
      <c r="E90" s="34" t="str">
        <f>Personal!G90</f>
        <v/>
      </c>
      <c r="F90" s="34"/>
      <c r="G90" s="34"/>
      <c r="H90" s="35"/>
      <c r="I90" s="36"/>
      <c r="J90" s="35"/>
      <c r="K90" s="35" t="str">
        <f>IF(G90="AGENTE",Tabla1[[#This Row],[1 Inicio Almuerzo Lunes]]+0.042,IF(G90="REDES",Tabla1[[#This Row],[1 Inicio Almuerzo Lunes]]+0.042,IF(G90="AGENTE RM",Tabla1[[#This Row],[1 Inicio Almuerzo Lunes]]+0.042,IF(G90="AGENTE APERTURA",Tabla1[[#This Row],[1 Inicio Almuerzo Lunes]]+0.021,IF(G90="AGENTE CIERRE",Tabla1[[#This Row],[1 Inicio Almuerzo Lunes]]+0.021," - ")))))</f>
        <v>#ERROR!</v>
      </c>
      <c r="L90" s="35"/>
      <c r="M90" s="35" t="str">
        <f>IF(G90="AGENTE",Tabla1[[#This Row],[1 Incio Break 1 Lunes]]+0.014,IF(G90="REDES",Tabla1[[#This Row],[1 Incio Break 1 Lunes]]+0.014,IF(G90="AGENTE RM",Tabla1[[#This Row],[1 Incio Break 1 Lunes]]+0.014,IF(G90="AGENTE APERTURA",Tabla1[[#This Row],[1 Incio Break 1 Lunes]]+0.014,IF(G90="AGENTE CIERRE",Tabla1[[#This Row],[1 Incio Break 1 Lunes]]+0.014," - ")))))</f>
        <v>#ERROR!</v>
      </c>
      <c r="N90" s="35"/>
      <c r="O90" s="35" t="str">
        <f>IF(G90="AGENTE",Tabla1[[#This Row],[1 Incio Break 2 Lunes]]+0.007,IF(G90="REDES",Tabla1[[#This Row],[1 Incio Break 2 Lunes]]+0.007,IF(G90="AGENTE RM",Tabla1[[#This Row],[1 Incio Break 2 Lunes]]+0.007,IF(G90="AGENTE APERTURA",Tabla1[[#This Row],[1 Incio Break 2 Lunes]]+0.007,IF(G90="AGENTE CIERRE",Tabla1[[#This Row],[1 Incio Break 2 Lunes]]+0.007," - ")))))</f>
        <v>#ERROR!</v>
      </c>
      <c r="P90" s="37"/>
      <c r="Q90" s="35"/>
      <c r="R90" s="35"/>
      <c r="S90" s="38"/>
      <c r="T90" s="38"/>
      <c r="U90" s="35"/>
      <c r="V90" s="35"/>
      <c r="W90" s="38"/>
      <c r="X90" s="38"/>
      <c r="Y90" s="37"/>
      <c r="Z90" s="37"/>
      <c r="AA90" s="37"/>
      <c r="AB90" s="37"/>
      <c r="AC90" s="37"/>
      <c r="AD90" s="27"/>
    </row>
    <row r="91" ht="15.75" customHeight="1">
      <c r="B91" s="18">
        <v>89.0</v>
      </c>
      <c r="C91" s="18" t="s">
        <v>38</v>
      </c>
      <c r="D91" s="19"/>
      <c r="E91" s="34" t="str">
        <f>Personal!G91</f>
        <v/>
      </c>
      <c r="F91" s="34"/>
      <c r="G91" s="34"/>
      <c r="H91" s="35"/>
      <c r="I91" s="36"/>
      <c r="J91" s="35"/>
      <c r="K91" s="35" t="str">
        <f>IF(G91="AGENTE",Tabla1[[#This Row],[1 Inicio Almuerzo Lunes]]+0.042,IF(G91="REDES",Tabla1[[#This Row],[1 Inicio Almuerzo Lunes]]+0.042,IF(G91="AGENTE RM",Tabla1[[#This Row],[1 Inicio Almuerzo Lunes]]+0.042,IF(G91="AGENTE APERTURA",Tabla1[[#This Row],[1 Inicio Almuerzo Lunes]]+0.021,IF(G91="AGENTE CIERRE",Tabla1[[#This Row],[1 Inicio Almuerzo Lunes]]+0.021," - ")))))</f>
        <v>#ERROR!</v>
      </c>
      <c r="L91" s="35"/>
      <c r="M91" s="35" t="str">
        <f>IF(G91="AGENTE",Tabla1[[#This Row],[1 Incio Break 1 Lunes]]+0.014,IF(G91="REDES",Tabla1[[#This Row],[1 Incio Break 1 Lunes]]+0.014,IF(G91="AGENTE RM",Tabla1[[#This Row],[1 Incio Break 1 Lunes]]+0.014,IF(G91="AGENTE APERTURA",Tabla1[[#This Row],[1 Incio Break 1 Lunes]]+0.014,IF(G91="AGENTE CIERRE",Tabla1[[#This Row],[1 Incio Break 1 Lunes]]+0.014," - ")))))</f>
        <v>#ERROR!</v>
      </c>
      <c r="N91" s="35"/>
      <c r="O91" s="35" t="str">
        <f>IF(G91="AGENTE",Tabla1[[#This Row],[1 Incio Break 2 Lunes]]+0.007,IF(G91="REDES",Tabla1[[#This Row],[1 Incio Break 2 Lunes]]+0.007,IF(G91="AGENTE RM",Tabla1[[#This Row],[1 Incio Break 2 Lunes]]+0.007,IF(G91="AGENTE APERTURA",Tabla1[[#This Row],[1 Incio Break 2 Lunes]]+0.007,IF(G91="AGENTE CIERRE",Tabla1[[#This Row],[1 Incio Break 2 Lunes]]+0.007," - ")))))</f>
        <v>#ERROR!</v>
      </c>
      <c r="P91" s="37"/>
      <c r="Q91" s="35"/>
      <c r="R91" s="35"/>
      <c r="S91" s="38"/>
      <c r="T91" s="38"/>
      <c r="U91" s="35"/>
      <c r="V91" s="35"/>
      <c r="W91" s="38"/>
      <c r="X91" s="38"/>
      <c r="Y91" s="37"/>
      <c r="Z91" s="37"/>
      <c r="AA91" s="37"/>
      <c r="AB91" s="37"/>
      <c r="AC91" s="37"/>
      <c r="AD91" s="27"/>
    </row>
    <row r="92" ht="15.75" customHeight="1">
      <c r="B92" s="18">
        <v>90.0</v>
      </c>
      <c r="C92" s="18" t="s">
        <v>38</v>
      </c>
      <c r="D92" s="19"/>
      <c r="E92" s="34" t="str">
        <f>Personal!G92</f>
        <v/>
      </c>
      <c r="F92" s="34"/>
      <c r="G92" s="34"/>
      <c r="H92" s="35"/>
      <c r="I92" s="36"/>
      <c r="J92" s="35"/>
      <c r="K92" s="35" t="str">
        <f>IF(G92="AGENTE",Tabla1[[#This Row],[1 Inicio Almuerzo Lunes]]+0.042,IF(G92="REDES",Tabla1[[#This Row],[1 Inicio Almuerzo Lunes]]+0.042,IF(G92="AGENTE RM",Tabla1[[#This Row],[1 Inicio Almuerzo Lunes]]+0.042,IF(G92="AGENTE APERTURA",Tabla1[[#This Row],[1 Inicio Almuerzo Lunes]]+0.021,IF(G92="AGENTE CIERRE",Tabla1[[#This Row],[1 Inicio Almuerzo Lunes]]+0.021," - ")))))</f>
        <v>#ERROR!</v>
      </c>
      <c r="L92" s="35"/>
      <c r="M92" s="35" t="str">
        <f>IF(G92="AGENTE",Tabla1[[#This Row],[1 Incio Break 1 Lunes]]+0.014,IF(G92="REDES",Tabla1[[#This Row],[1 Incio Break 1 Lunes]]+0.014,IF(G92="AGENTE RM",Tabla1[[#This Row],[1 Incio Break 1 Lunes]]+0.014,IF(G92="AGENTE APERTURA",Tabla1[[#This Row],[1 Incio Break 1 Lunes]]+0.014,IF(G92="AGENTE CIERRE",Tabla1[[#This Row],[1 Incio Break 1 Lunes]]+0.014," - ")))))</f>
        <v>#ERROR!</v>
      </c>
      <c r="N92" s="35"/>
      <c r="O92" s="35" t="str">
        <f>IF(G92="AGENTE",Tabla1[[#This Row],[1 Incio Break 2 Lunes]]+0.007,IF(G92="REDES",Tabla1[[#This Row],[1 Incio Break 2 Lunes]]+0.007,IF(G92="AGENTE RM",Tabla1[[#This Row],[1 Incio Break 2 Lunes]]+0.007,IF(G92="AGENTE APERTURA",Tabla1[[#This Row],[1 Incio Break 2 Lunes]]+0.007,IF(G92="AGENTE CIERRE",Tabla1[[#This Row],[1 Incio Break 2 Lunes]]+0.007," - ")))))</f>
        <v>#ERROR!</v>
      </c>
      <c r="P92" s="37"/>
      <c r="Q92" s="35"/>
      <c r="R92" s="35"/>
      <c r="S92" s="38"/>
      <c r="T92" s="38"/>
      <c r="U92" s="35"/>
      <c r="V92" s="35"/>
      <c r="W92" s="38"/>
      <c r="X92" s="38"/>
      <c r="Y92" s="37"/>
      <c r="Z92" s="37"/>
      <c r="AA92" s="37"/>
      <c r="AB92" s="37"/>
      <c r="AC92" s="37"/>
      <c r="AD92" s="27"/>
    </row>
    <row r="93" ht="15.75" customHeight="1">
      <c r="B93" s="18">
        <v>91.0</v>
      </c>
      <c r="C93" s="18" t="s">
        <v>38</v>
      </c>
      <c r="D93" s="19"/>
      <c r="E93" s="34" t="str">
        <f>Personal!G93</f>
        <v/>
      </c>
      <c r="F93" s="34"/>
      <c r="G93" s="34"/>
      <c r="H93" s="35"/>
      <c r="I93" s="36"/>
      <c r="J93" s="35"/>
      <c r="K93" s="35" t="str">
        <f>IF(G93="AGENTE",Tabla1[[#This Row],[1 Inicio Almuerzo Lunes]]+0.042,IF(G93="REDES",Tabla1[[#This Row],[1 Inicio Almuerzo Lunes]]+0.042,IF(G93="AGENTE RM",Tabla1[[#This Row],[1 Inicio Almuerzo Lunes]]+0.042,IF(G93="AGENTE APERTURA",Tabla1[[#This Row],[1 Inicio Almuerzo Lunes]]+0.021,IF(G93="AGENTE CIERRE",Tabla1[[#This Row],[1 Inicio Almuerzo Lunes]]+0.021," - ")))))</f>
        <v>#ERROR!</v>
      </c>
      <c r="L93" s="35"/>
      <c r="M93" s="35" t="str">
        <f>IF(G93="AGENTE",Tabla1[[#This Row],[1 Incio Break 1 Lunes]]+0.014,IF(G93="REDES",Tabla1[[#This Row],[1 Incio Break 1 Lunes]]+0.014,IF(G93="AGENTE RM",Tabla1[[#This Row],[1 Incio Break 1 Lunes]]+0.014,IF(G93="AGENTE APERTURA",Tabla1[[#This Row],[1 Incio Break 1 Lunes]]+0.014,IF(G93="AGENTE CIERRE",Tabla1[[#This Row],[1 Incio Break 1 Lunes]]+0.014," - ")))))</f>
        <v>#ERROR!</v>
      </c>
      <c r="N93" s="35"/>
      <c r="O93" s="35" t="str">
        <f>IF(G93="AGENTE",Tabla1[[#This Row],[1 Incio Break 2 Lunes]]+0.007,IF(G93="REDES",Tabla1[[#This Row],[1 Incio Break 2 Lunes]]+0.007,IF(G93="AGENTE RM",Tabla1[[#This Row],[1 Incio Break 2 Lunes]]+0.007,IF(G93="AGENTE APERTURA",Tabla1[[#This Row],[1 Incio Break 2 Lunes]]+0.007,IF(G93="AGENTE CIERRE",Tabla1[[#This Row],[1 Incio Break 2 Lunes]]+0.007," - ")))))</f>
        <v>#ERROR!</v>
      </c>
      <c r="P93" s="37"/>
      <c r="Q93" s="35"/>
      <c r="R93" s="35"/>
      <c r="S93" s="38"/>
      <c r="T93" s="38"/>
      <c r="U93" s="35"/>
      <c r="V93" s="35"/>
      <c r="W93" s="38"/>
      <c r="X93" s="38"/>
      <c r="Y93" s="37"/>
      <c r="Z93" s="37"/>
      <c r="AA93" s="37"/>
      <c r="AB93" s="37"/>
      <c r="AC93" s="37"/>
      <c r="AD93" s="27"/>
    </row>
    <row r="94" ht="15.75" customHeight="1">
      <c r="B94" s="18">
        <v>92.0</v>
      </c>
      <c r="C94" s="18" t="s">
        <v>38</v>
      </c>
      <c r="D94" s="19"/>
      <c r="E94" s="34" t="str">
        <f>Personal!G94</f>
        <v/>
      </c>
      <c r="F94" s="34"/>
      <c r="G94" s="34"/>
      <c r="H94" s="35"/>
      <c r="I94" s="36"/>
      <c r="J94" s="35"/>
      <c r="K94" s="35" t="str">
        <f>IF(G94="AGENTE",Tabla1[[#This Row],[1 Inicio Almuerzo Lunes]]+0.042,IF(G94="REDES",Tabla1[[#This Row],[1 Inicio Almuerzo Lunes]]+0.042,IF(G94="AGENTE RM",Tabla1[[#This Row],[1 Inicio Almuerzo Lunes]]+0.042,IF(G94="AGENTE APERTURA",Tabla1[[#This Row],[1 Inicio Almuerzo Lunes]]+0.021,IF(G94="AGENTE CIERRE",Tabla1[[#This Row],[1 Inicio Almuerzo Lunes]]+0.021," - ")))))</f>
        <v>#ERROR!</v>
      </c>
      <c r="L94" s="35"/>
      <c r="M94" s="35" t="str">
        <f>IF(G94="AGENTE",Tabla1[[#This Row],[1 Incio Break 1 Lunes]]+0.014,IF(G94="REDES",Tabla1[[#This Row],[1 Incio Break 1 Lunes]]+0.014,IF(G94="AGENTE RM",Tabla1[[#This Row],[1 Incio Break 1 Lunes]]+0.014,IF(G94="AGENTE APERTURA",Tabla1[[#This Row],[1 Incio Break 1 Lunes]]+0.014,IF(G94="AGENTE CIERRE",Tabla1[[#This Row],[1 Incio Break 1 Lunes]]+0.014," - ")))))</f>
        <v>#ERROR!</v>
      </c>
      <c r="N94" s="35"/>
      <c r="O94" s="35" t="str">
        <f>IF(G94="AGENTE",Tabla1[[#This Row],[1 Incio Break 2 Lunes]]+0.007,IF(G94="REDES",Tabla1[[#This Row],[1 Incio Break 2 Lunes]]+0.007,IF(G94="AGENTE RM",Tabla1[[#This Row],[1 Incio Break 2 Lunes]]+0.007,IF(G94="AGENTE APERTURA",Tabla1[[#This Row],[1 Incio Break 2 Lunes]]+0.007,IF(G94="AGENTE CIERRE",Tabla1[[#This Row],[1 Incio Break 2 Lunes]]+0.007," - ")))))</f>
        <v>#ERROR!</v>
      </c>
      <c r="P94" s="37"/>
      <c r="Q94" s="35"/>
      <c r="R94" s="35"/>
      <c r="S94" s="38"/>
      <c r="T94" s="38"/>
      <c r="U94" s="35"/>
      <c r="V94" s="35"/>
      <c r="W94" s="38"/>
      <c r="X94" s="38"/>
      <c r="Y94" s="37"/>
      <c r="Z94" s="37"/>
      <c r="AA94" s="37"/>
      <c r="AB94" s="37"/>
      <c r="AC94" s="37"/>
      <c r="AD94" s="27"/>
    </row>
    <row r="95" ht="15.75" customHeight="1">
      <c r="B95" s="18">
        <v>93.0</v>
      </c>
      <c r="C95" s="18" t="s">
        <v>38</v>
      </c>
      <c r="D95" s="19"/>
      <c r="E95" s="34" t="str">
        <f>Personal!G95</f>
        <v/>
      </c>
      <c r="F95" s="34"/>
      <c r="G95" s="34"/>
      <c r="H95" s="35"/>
      <c r="I95" s="36"/>
      <c r="J95" s="35"/>
      <c r="K95" s="35" t="str">
        <f>IF(G95="AGENTE",Tabla1[[#This Row],[1 Inicio Almuerzo Lunes]]+0.042,IF(G95="REDES",Tabla1[[#This Row],[1 Inicio Almuerzo Lunes]]+0.042,IF(G95="AGENTE RM",Tabla1[[#This Row],[1 Inicio Almuerzo Lunes]]+0.042,IF(G95="AGENTE APERTURA",Tabla1[[#This Row],[1 Inicio Almuerzo Lunes]]+0.021,IF(G95="AGENTE CIERRE",Tabla1[[#This Row],[1 Inicio Almuerzo Lunes]]+0.021," - ")))))</f>
        <v>#ERROR!</v>
      </c>
      <c r="L95" s="35"/>
      <c r="M95" s="35" t="str">
        <f>IF(G95="AGENTE",Tabla1[[#This Row],[1 Incio Break 1 Lunes]]+0.014,IF(G95="REDES",Tabla1[[#This Row],[1 Incio Break 1 Lunes]]+0.014,IF(G95="AGENTE RM",Tabla1[[#This Row],[1 Incio Break 1 Lunes]]+0.014,IF(G95="AGENTE APERTURA",Tabla1[[#This Row],[1 Incio Break 1 Lunes]]+0.014,IF(G95="AGENTE CIERRE",Tabla1[[#This Row],[1 Incio Break 1 Lunes]]+0.014," - ")))))</f>
        <v>#ERROR!</v>
      </c>
      <c r="N95" s="35"/>
      <c r="O95" s="35" t="str">
        <f>IF(G95="AGENTE",Tabla1[[#This Row],[1 Incio Break 2 Lunes]]+0.007,IF(G95="REDES",Tabla1[[#This Row],[1 Incio Break 2 Lunes]]+0.007,IF(G95="AGENTE RM",Tabla1[[#This Row],[1 Incio Break 2 Lunes]]+0.007,IF(G95="AGENTE APERTURA",Tabla1[[#This Row],[1 Incio Break 2 Lunes]]+0.007,IF(G95="AGENTE CIERRE",Tabla1[[#This Row],[1 Incio Break 2 Lunes]]+0.007," - ")))))</f>
        <v>#ERROR!</v>
      </c>
      <c r="P95" s="37"/>
      <c r="Q95" s="35"/>
      <c r="R95" s="35"/>
      <c r="S95" s="38"/>
      <c r="T95" s="38"/>
      <c r="U95" s="35"/>
      <c r="V95" s="35"/>
      <c r="W95" s="38"/>
      <c r="X95" s="38"/>
      <c r="Y95" s="37"/>
      <c r="Z95" s="37"/>
      <c r="AA95" s="37"/>
      <c r="AB95" s="37"/>
      <c r="AC95" s="37"/>
      <c r="AD95" s="27"/>
    </row>
    <row r="96" ht="15.75" customHeight="1">
      <c r="B96" s="18">
        <v>94.0</v>
      </c>
      <c r="C96" s="18" t="s">
        <v>38</v>
      </c>
      <c r="D96" s="19"/>
      <c r="E96" s="34" t="str">
        <f>Personal!G96</f>
        <v/>
      </c>
      <c r="F96" s="34"/>
      <c r="G96" s="34"/>
      <c r="H96" s="35"/>
      <c r="I96" s="36"/>
      <c r="J96" s="35"/>
      <c r="K96" s="35" t="str">
        <f>IF(G96="AGENTE",Tabla1[[#This Row],[1 Inicio Almuerzo Lunes]]+0.042,IF(G96="REDES",Tabla1[[#This Row],[1 Inicio Almuerzo Lunes]]+0.042,IF(G96="AGENTE RM",Tabla1[[#This Row],[1 Inicio Almuerzo Lunes]]+0.042,IF(G96="AGENTE APERTURA",Tabla1[[#This Row],[1 Inicio Almuerzo Lunes]]+0.021,IF(G96="AGENTE CIERRE",Tabla1[[#This Row],[1 Inicio Almuerzo Lunes]]+0.021," - ")))))</f>
        <v>#ERROR!</v>
      </c>
      <c r="L96" s="35"/>
      <c r="M96" s="35" t="str">
        <f>IF(G96="AGENTE",Tabla1[[#This Row],[1 Incio Break 1 Lunes]]+0.014,IF(G96="REDES",Tabla1[[#This Row],[1 Incio Break 1 Lunes]]+0.014,IF(G96="AGENTE RM",Tabla1[[#This Row],[1 Incio Break 1 Lunes]]+0.014,IF(G96="AGENTE APERTURA",Tabla1[[#This Row],[1 Incio Break 1 Lunes]]+0.014,IF(G96="AGENTE CIERRE",Tabla1[[#This Row],[1 Incio Break 1 Lunes]]+0.014," - ")))))</f>
        <v>#ERROR!</v>
      </c>
      <c r="N96" s="35"/>
      <c r="O96" s="35" t="str">
        <f>IF(G96="AGENTE",Tabla1[[#This Row],[1 Incio Break 2 Lunes]]+0.007,IF(G96="REDES",Tabla1[[#This Row],[1 Incio Break 2 Lunes]]+0.007,IF(G96="AGENTE RM",Tabla1[[#This Row],[1 Incio Break 2 Lunes]]+0.007,IF(G96="AGENTE APERTURA",Tabla1[[#This Row],[1 Incio Break 2 Lunes]]+0.007,IF(G96="AGENTE CIERRE",Tabla1[[#This Row],[1 Incio Break 2 Lunes]]+0.007," - ")))))</f>
        <v>#ERROR!</v>
      </c>
      <c r="P96" s="37"/>
      <c r="Q96" s="35"/>
      <c r="R96" s="35"/>
      <c r="S96" s="38"/>
      <c r="T96" s="38"/>
      <c r="U96" s="35"/>
      <c r="V96" s="35"/>
      <c r="W96" s="38"/>
      <c r="X96" s="38"/>
      <c r="Y96" s="37"/>
      <c r="Z96" s="37"/>
      <c r="AA96" s="37"/>
      <c r="AB96" s="37"/>
      <c r="AC96" s="37"/>
      <c r="AD96" s="27"/>
    </row>
    <row r="97" ht="15.75" customHeight="1">
      <c r="B97" s="18">
        <v>95.0</v>
      </c>
      <c r="C97" s="18" t="s">
        <v>38</v>
      </c>
      <c r="D97" s="19"/>
      <c r="E97" s="34" t="str">
        <f>Personal!G97</f>
        <v/>
      </c>
      <c r="F97" s="34"/>
      <c r="G97" s="34"/>
      <c r="H97" s="35"/>
      <c r="I97" s="36"/>
      <c r="J97" s="35"/>
      <c r="K97" s="35" t="str">
        <f>IF(G97="AGENTE",Tabla1[[#This Row],[1 Inicio Almuerzo Lunes]]+0.042,IF(G97="REDES",Tabla1[[#This Row],[1 Inicio Almuerzo Lunes]]+0.042,IF(G97="AGENTE RM",Tabla1[[#This Row],[1 Inicio Almuerzo Lunes]]+0.042,IF(G97="AGENTE APERTURA",Tabla1[[#This Row],[1 Inicio Almuerzo Lunes]]+0.021,IF(G97="AGENTE CIERRE",Tabla1[[#This Row],[1 Inicio Almuerzo Lunes]]+0.021," - ")))))</f>
        <v>#ERROR!</v>
      </c>
      <c r="L97" s="35"/>
      <c r="M97" s="35" t="str">
        <f>IF(G97="AGENTE",Tabla1[[#This Row],[1 Incio Break 1 Lunes]]+0.014,IF(G97="REDES",Tabla1[[#This Row],[1 Incio Break 1 Lunes]]+0.014,IF(G97="AGENTE RM",Tabla1[[#This Row],[1 Incio Break 1 Lunes]]+0.014,IF(G97="AGENTE APERTURA",Tabla1[[#This Row],[1 Incio Break 1 Lunes]]+0.014,IF(G97="AGENTE CIERRE",Tabla1[[#This Row],[1 Incio Break 1 Lunes]]+0.014," - ")))))</f>
        <v>#ERROR!</v>
      </c>
      <c r="N97" s="35"/>
      <c r="O97" s="35" t="str">
        <f>IF(G97="AGENTE",Tabla1[[#This Row],[1 Incio Break 2 Lunes]]+0.007,IF(G97="REDES",Tabla1[[#This Row],[1 Incio Break 2 Lunes]]+0.007,IF(G97="AGENTE RM",Tabla1[[#This Row],[1 Incio Break 2 Lunes]]+0.007,IF(G97="AGENTE APERTURA",Tabla1[[#This Row],[1 Incio Break 2 Lunes]]+0.007,IF(G97="AGENTE CIERRE",Tabla1[[#This Row],[1 Incio Break 2 Lunes]]+0.007," - ")))))</f>
        <v>#ERROR!</v>
      </c>
      <c r="P97" s="37"/>
      <c r="Q97" s="35"/>
      <c r="R97" s="35"/>
      <c r="S97" s="38"/>
      <c r="T97" s="38"/>
      <c r="U97" s="35"/>
      <c r="V97" s="35"/>
      <c r="W97" s="38"/>
      <c r="X97" s="38"/>
      <c r="Y97" s="37"/>
      <c r="Z97" s="37"/>
      <c r="AA97" s="37"/>
      <c r="AB97" s="37"/>
      <c r="AC97" s="37"/>
      <c r="AD97" s="27"/>
    </row>
    <row r="98" ht="15.75" customHeight="1">
      <c r="B98" s="18">
        <v>96.0</v>
      </c>
      <c r="C98" s="18" t="s">
        <v>38</v>
      </c>
      <c r="D98" s="19"/>
      <c r="E98" s="34" t="str">
        <f>Personal!G98</f>
        <v/>
      </c>
      <c r="F98" s="34"/>
      <c r="G98" s="34"/>
      <c r="H98" s="35"/>
      <c r="I98" s="36"/>
      <c r="J98" s="35"/>
      <c r="K98" s="35" t="str">
        <f>IF(G98="AGENTE",Tabla1[[#This Row],[1 Inicio Almuerzo Lunes]]+0.042,IF(G98="REDES",Tabla1[[#This Row],[1 Inicio Almuerzo Lunes]]+0.042,IF(G98="AGENTE RM",Tabla1[[#This Row],[1 Inicio Almuerzo Lunes]]+0.042,IF(G98="AGENTE APERTURA",Tabla1[[#This Row],[1 Inicio Almuerzo Lunes]]+0.021,IF(G98="AGENTE CIERRE",Tabla1[[#This Row],[1 Inicio Almuerzo Lunes]]+0.021," - ")))))</f>
        <v>#ERROR!</v>
      </c>
      <c r="L98" s="35"/>
      <c r="M98" s="35" t="str">
        <f>IF(G98="AGENTE",Tabla1[[#This Row],[1 Incio Break 1 Lunes]]+0.014,IF(G98="REDES",Tabla1[[#This Row],[1 Incio Break 1 Lunes]]+0.014,IF(G98="AGENTE RM",Tabla1[[#This Row],[1 Incio Break 1 Lunes]]+0.014,IF(G98="AGENTE APERTURA",Tabla1[[#This Row],[1 Incio Break 1 Lunes]]+0.014,IF(G98="AGENTE CIERRE",Tabla1[[#This Row],[1 Incio Break 1 Lunes]]+0.014," - ")))))</f>
        <v>#ERROR!</v>
      </c>
      <c r="N98" s="35"/>
      <c r="O98" s="35" t="str">
        <f>IF(G98="AGENTE",Tabla1[[#This Row],[1 Incio Break 2 Lunes]]+0.007,IF(G98="REDES",Tabla1[[#This Row],[1 Incio Break 2 Lunes]]+0.007,IF(G98="AGENTE RM",Tabla1[[#This Row],[1 Incio Break 2 Lunes]]+0.007,IF(G98="AGENTE APERTURA",Tabla1[[#This Row],[1 Incio Break 2 Lunes]]+0.007,IF(G98="AGENTE CIERRE",Tabla1[[#This Row],[1 Incio Break 2 Lunes]]+0.007," - ")))))</f>
        <v>#ERROR!</v>
      </c>
      <c r="P98" s="37"/>
      <c r="Q98" s="35"/>
      <c r="R98" s="35"/>
      <c r="S98" s="38"/>
      <c r="T98" s="38"/>
      <c r="U98" s="35"/>
      <c r="V98" s="35"/>
      <c r="W98" s="38"/>
      <c r="X98" s="38"/>
      <c r="Y98" s="37"/>
      <c r="Z98" s="37"/>
      <c r="AA98" s="37"/>
      <c r="AB98" s="37"/>
      <c r="AC98" s="37"/>
      <c r="AD98" s="27"/>
    </row>
    <row r="99" ht="15.75" customHeight="1">
      <c r="B99" s="18">
        <v>97.0</v>
      </c>
      <c r="C99" s="18" t="s">
        <v>38</v>
      </c>
      <c r="D99" s="19"/>
      <c r="E99" s="34" t="str">
        <f>Personal!G99</f>
        <v/>
      </c>
      <c r="F99" s="34"/>
      <c r="G99" s="34"/>
      <c r="H99" s="35"/>
      <c r="I99" s="36"/>
      <c r="J99" s="35"/>
      <c r="K99" s="35" t="str">
        <f>IF(G99="AGENTE",Tabla1[[#This Row],[1 Inicio Almuerzo Lunes]]+0.042,IF(G99="REDES",Tabla1[[#This Row],[1 Inicio Almuerzo Lunes]]+0.042,IF(G99="AGENTE RM",Tabla1[[#This Row],[1 Inicio Almuerzo Lunes]]+0.042,IF(G99="AGENTE APERTURA",Tabla1[[#This Row],[1 Inicio Almuerzo Lunes]]+0.021,IF(G99="AGENTE CIERRE",Tabla1[[#This Row],[1 Inicio Almuerzo Lunes]]+0.021," - ")))))</f>
        <v>#ERROR!</v>
      </c>
      <c r="L99" s="35"/>
      <c r="M99" s="35" t="str">
        <f>IF(G99="AGENTE",Tabla1[[#This Row],[1 Incio Break 1 Lunes]]+0.014,IF(G99="REDES",Tabla1[[#This Row],[1 Incio Break 1 Lunes]]+0.014,IF(G99="AGENTE RM",Tabla1[[#This Row],[1 Incio Break 1 Lunes]]+0.014,IF(G99="AGENTE APERTURA",Tabla1[[#This Row],[1 Incio Break 1 Lunes]]+0.014,IF(G99="AGENTE CIERRE",Tabla1[[#This Row],[1 Incio Break 1 Lunes]]+0.014," - ")))))</f>
        <v>#ERROR!</v>
      </c>
      <c r="N99" s="35"/>
      <c r="O99" s="35" t="str">
        <f>IF(G99="AGENTE",Tabla1[[#This Row],[1 Incio Break 2 Lunes]]+0.007,IF(G99="REDES",Tabla1[[#This Row],[1 Incio Break 2 Lunes]]+0.007,IF(G99="AGENTE RM",Tabla1[[#This Row],[1 Incio Break 2 Lunes]]+0.007,IF(G99="AGENTE APERTURA",Tabla1[[#This Row],[1 Incio Break 2 Lunes]]+0.007,IF(G99="AGENTE CIERRE",Tabla1[[#This Row],[1 Incio Break 2 Lunes]]+0.007," - ")))))</f>
        <v>#ERROR!</v>
      </c>
      <c r="P99" s="37"/>
      <c r="Q99" s="35"/>
      <c r="R99" s="35"/>
      <c r="S99" s="38"/>
      <c r="T99" s="38"/>
      <c r="U99" s="35"/>
      <c r="V99" s="35"/>
      <c r="W99" s="38"/>
      <c r="X99" s="38"/>
      <c r="Y99" s="37"/>
      <c r="Z99" s="37"/>
      <c r="AA99" s="37"/>
      <c r="AB99" s="37"/>
      <c r="AC99" s="37"/>
      <c r="AD99" s="27"/>
    </row>
    <row r="100" ht="15.75" customHeight="1">
      <c r="B100" s="18">
        <v>98.0</v>
      </c>
      <c r="C100" s="18" t="s">
        <v>38</v>
      </c>
      <c r="D100" s="19"/>
      <c r="E100" s="34" t="str">
        <f>Personal!G100</f>
        <v/>
      </c>
      <c r="F100" s="34"/>
      <c r="G100" s="34"/>
      <c r="H100" s="35"/>
      <c r="I100" s="36"/>
      <c r="J100" s="35"/>
      <c r="K100" s="35" t="str">
        <f>IF(G100="AGENTE",Tabla1[[#This Row],[1 Inicio Almuerzo Lunes]]+0.042,IF(G100="REDES",Tabla1[[#This Row],[1 Inicio Almuerzo Lunes]]+0.042,IF(G100="AGENTE RM",Tabla1[[#This Row],[1 Inicio Almuerzo Lunes]]+0.042,IF(G100="AGENTE APERTURA",Tabla1[[#This Row],[1 Inicio Almuerzo Lunes]]+0.021,IF(G100="AGENTE CIERRE",Tabla1[[#This Row],[1 Inicio Almuerzo Lunes]]+0.021," - ")))))</f>
        <v>#ERROR!</v>
      </c>
      <c r="L100" s="35"/>
      <c r="M100" s="35" t="str">
        <f>IF(G100="AGENTE",Tabla1[[#This Row],[1 Incio Break 1 Lunes]]+0.014,IF(G100="REDES",Tabla1[[#This Row],[1 Incio Break 1 Lunes]]+0.014,IF(G100="AGENTE RM",Tabla1[[#This Row],[1 Incio Break 1 Lunes]]+0.014,IF(G100="AGENTE APERTURA",Tabla1[[#This Row],[1 Incio Break 1 Lunes]]+0.014,IF(G100="AGENTE CIERRE",Tabla1[[#This Row],[1 Incio Break 1 Lunes]]+0.014," - ")))))</f>
        <v>#ERROR!</v>
      </c>
      <c r="N100" s="35"/>
      <c r="O100" s="35" t="str">
        <f>IF(G100="AGENTE",Tabla1[[#This Row],[1 Incio Break 2 Lunes]]+0.007,IF(G100="REDES",Tabla1[[#This Row],[1 Incio Break 2 Lunes]]+0.007,IF(G100="AGENTE RM",Tabla1[[#This Row],[1 Incio Break 2 Lunes]]+0.007,IF(G100="AGENTE APERTURA",Tabla1[[#This Row],[1 Incio Break 2 Lunes]]+0.007,IF(G100="AGENTE CIERRE",Tabla1[[#This Row],[1 Incio Break 2 Lunes]]+0.007," - ")))))</f>
        <v>#ERROR!</v>
      </c>
      <c r="P100" s="37"/>
      <c r="Q100" s="35"/>
      <c r="R100" s="35"/>
      <c r="S100" s="38"/>
      <c r="T100" s="38"/>
      <c r="U100" s="35"/>
      <c r="V100" s="35"/>
      <c r="W100" s="38"/>
      <c r="X100" s="38"/>
      <c r="Y100" s="37"/>
      <c r="Z100" s="37"/>
      <c r="AA100" s="37"/>
      <c r="AB100" s="37"/>
      <c r="AC100" s="37"/>
      <c r="AD100" s="27"/>
    </row>
    <row r="101" ht="15.75" customHeight="1">
      <c r="B101" s="18">
        <v>99.0</v>
      </c>
      <c r="C101" s="18" t="s">
        <v>38</v>
      </c>
      <c r="D101" s="19"/>
      <c r="E101" s="34" t="str">
        <f>Personal!G101</f>
        <v/>
      </c>
      <c r="F101" s="34"/>
      <c r="G101" s="34"/>
      <c r="H101" s="35"/>
      <c r="I101" s="36"/>
      <c r="J101" s="35"/>
      <c r="K101" s="35" t="str">
        <f>IF(G101="AGENTE",Tabla1[[#This Row],[1 Inicio Almuerzo Lunes]]+0.042,IF(G101="REDES",Tabla1[[#This Row],[1 Inicio Almuerzo Lunes]]+0.042,IF(G101="AGENTE RM",Tabla1[[#This Row],[1 Inicio Almuerzo Lunes]]+0.042,IF(G101="AGENTE APERTURA",Tabla1[[#This Row],[1 Inicio Almuerzo Lunes]]+0.021,IF(G101="AGENTE CIERRE",Tabla1[[#This Row],[1 Inicio Almuerzo Lunes]]+0.021," - ")))))</f>
        <v>#ERROR!</v>
      </c>
      <c r="L101" s="35"/>
      <c r="M101" s="35" t="str">
        <f>IF(G101="AGENTE",Tabla1[[#This Row],[1 Incio Break 1 Lunes]]+0.014,IF(G101="REDES",Tabla1[[#This Row],[1 Incio Break 1 Lunes]]+0.014,IF(G101="AGENTE RM",Tabla1[[#This Row],[1 Incio Break 1 Lunes]]+0.014,IF(G101="AGENTE APERTURA",Tabla1[[#This Row],[1 Incio Break 1 Lunes]]+0.014,IF(G101="AGENTE CIERRE",Tabla1[[#This Row],[1 Incio Break 1 Lunes]]+0.014," - ")))))</f>
        <v>#ERROR!</v>
      </c>
      <c r="N101" s="35"/>
      <c r="O101" s="35" t="str">
        <f>IF(G101="AGENTE",Tabla1[[#This Row],[1 Incio Break 2 Lunes]]+0.007,IF(G101="REDES",Tabla1[[#This Row],[1 Incio Break 2 Lunes]]+0.007,IF(G101="AGENTE RM",Tabla1[[#This Row],[1 Incio Break 2 Lunes]]+0.007,IF(G101="AGENTE APERTURA",Tabla1[[#This Row],[1 Incio Break 2 Lunes]]+0.007,IF(G101="AGENTE CIERRE",Tabla1[[#This Row],[1 Incio Break 2 Lunes]]+0.007," - ")))))</f>
        <v>#ERROR!</v>
      </c>
      <c r="P101" s="37"/>
      <c r="Q101" s="35"/>
      <c r="R101" s="35"/>
      <c r="S101" s="38"/>
      <c r="T101" s="38"/>
      <c r="U101" s="35"/>
      <c r="V101" s="35"/>
      <c r="W101" s="38"/>
      <c r="X101" s="38"/>
      <c r="Y101" s="37"/>
      <c r="Z101" s="37"/>
      <c r="AA101" s="37"/>
      <c r="AB101" s="37"/>
      <c r="AC101" s="37"/>
      <c r="AD101" s="27"/>
    </row>
    <row r="102" ht="15.75" customHeight="1">
      <c r="B102" s="18">
        <v>100.0</v>
      </c>
      <c r="C102" s="18" t="s">
        <v>38</v>
      </c>
      <c r="D102" s="19"/>
      <c r="E102" s="34" t="str">
        <f>Personal!G102</f>
        <v/>
      </c>
      <c r="F102" s="34"/>
      <c r="G102" s="34"/>
      <c r="H102" s="35"/>
      <c r="I102" s="36"/>
      <c r="J102" s="35"/>
      <c r="K102" s="35" t="str">
        <f>IF(G102="AGENTE",Tabla1[[#This Row],[1 Inicio Almuerzo Lunes]]+0.042,IF(G102="REDES",Tabla1[[#This Row],[1 Inicio Almuerzo Lunes]]+0.042,IF(G102="AGENTE RM",Tabla1[[#This Row],[1 Inicio Almuerzo Lunes]]+0.042,IF(G102="AGENTE APERTURA",Tabla1[[#This Row],[1 Inicio Almuerzo Lunes]]+0.021,IF(G102="AGENTE CIERRE",Tabla1[[#This Row],[1 Inicio Almuerzo Lunes]]+0.021," - ")))))</f>
        <v>#ERROR!</v>
      </c>
      <c r="L102" s="35"/>
      <c r="M102" s="35" t="str">
        <f>IF(G102="AGENTE",Tabla1[[#This Row],[1 Incio Break 1 Lunes]]+0.014,IF(G102="REDES",Tabla1[[#This Row],[1 Incio Break 1 Lunes]]+0.014,IF(G102="AGENTE RM",Tabla1[[#This Row],[1 Incio Break 1 Lunes]]+0.014,IF(G102="AGENTE APERTURA",Tabla1[[#This Row],[1 Incio Break 1 Lunes]]+0.014,IF(G102="AGENTE CIERRE",Tabla1[[#This Row],[1 Incio Break 1 Lunes]]+0.014," - ")))))</f>
        <v>#ERROR!</v>
      </c>
      <c r="N102" s="35"/>
      <c r="O102" s="35" t="str">
        <f>IF(G102="AGENTE",Tabla1[[#This Row],[1 Incio Break 2 Lunes]]+0.007,IF(G102="REDES",Tabla1[[#This Row],[1 Incio Break 2 Lunes]]+0.007,IF(G102="AGENTE RM",Tabla1[[#This Row],[1 Incio Break 2 Lunes]]+0.007,IF(G102="AGENTE APERTURA",Tabla1[[#This Row],[1 Incio Break 2 Lunes]]+0.007,IF(G102="AGENTE CIERRE",Tabla1[[#This Row],[1 Incio Break 2 Lunes]]+0.007," - ")))))</f>
        <v>#ERROR!</v>
      </c>
      <c r="P102" s="37"/>
      <c r="Q102" s="35"/>
      <c r="R102" s="35"/>
      <c r="S102" s="38"/>
      <c r="T102" s="38"/>
      <c r="U102" s="35"/>
      <c r="V102" s="35"/>
      <c r="W102" s="38"/>
      <c r="X102" s="38"/>
      <c r="Y102" s="37"/>
      <c r="Z102" s="37"/>
      <c r="AA102" s="37"/>
      <c r="AB102" s="37"/>
      <c r="AC102" s="37"/>
      <c r="AD102" s="27"/>
    </row>
    <row r="103" ht="15.75" customHeight="1">
      <c r="E103" s="39"/>
      <c r="F103" s="39"/>
      <c r="G103" s="39"/>
      <c r="H103" s="40"/>
      <c r="I103" s="40"/>
      <c r="J103" s="40"/>
      <c r="K103" s="40"/>
      <c r="L103" s="40"/>
      <c r="M103" s="40"/>
      <c r="N103" s="40"/>
      <c r="O103" s="40"/>
      <c r="P103" s="41"/>
      <c r="Q103" s="40"/>
      <c r="R103" s="40"/>
      <c r="S103" s="42"/>
      <c r="T103" s="42"/>
      <c r="U103" s="40"/>
      <c r="V103" s="40"/>
      <c r="W103" s="42"/>
      <c r="X103" s="42"/>
      <c r="Y103" s="41"/>
      <c r="Z103" s="41"/>
      <c r="AA103" s="41"/>
      <c r="AB103" s="41"/>
      <c r="AC103" s="41"/>
    </row>
    <row r="104" ht="15.75" customHeight="1">
      <c r="E104" s="39"/>
      <c r="F104" s="39"/>
      <c r="G104" s="39"/>
      <c r="H104" s="40"/>
      <c r="I104" s="40"/>
      <c r="J104" s="40"/>
      <c r="K104" s="40"/>
      <c r="L104" s="40"/>
      <c r="M104" s="40"/>
      <c r="N104" s="40"/>
      <c r="O104" s="40"/>
      <c r="P104" s="42"/>
      <c r="Q104" s="40"/>
      <c r="R104" s="40"/>
      <c r="S104" s="42"/>
      <c r="T104" s="42"/>
      <c r="U104" s="40"/>
      <c r="V104" s="40"/>
      <c r="W104" s="42"/>
      <c r="X104" s="42"/>
      <c r="Y104" s="42"/>
      <c r="Z104" s="41"/>
      <c r="AA104" s="41"/>
      <c r="AB104" s="41"/>
      <c r="AC104" s="41"/>
    </row>
    <row r="105" ht="15.75" customHeight="1">
      <c r="E105" s="39"/>
      <c r="F105" s="39"/>
      <c r="G105" s="39"/>
      <c r="H105" s="40">
        <v>0.2916666666666667</v>
      </c>
      <c r="I105" s="40">
        <v>0.6666666666666666</v>
      </c>
      <c r="J105" s="40">
        <v>0.5416666666666666</v>
      </c>
      <c r="K105" s="40" t="str">
        <f t="shared" ref="K105:K107" si="114">IF(J105=0,"",J105+0.041)</f>
        <v>13:59</v>
      </c>
      <c r="L105" s="40">
        <v>0.3229166666666667</v>
      </c>
      <c r="M105" s="40" t="str">
        <f t="shared" ref="M105:M107" si="115">IF(L105=0,"",L105+0.01)</f>
        <v>7:59</v>
      </c>
      <c r="N105" s="40">
        <v>0.6354166666666666</v>
      </c>
      <c r="O105" s="40" t="str">
        <f t="shared" ref="O105:O107" si="116">IF(N105=0,"",N105+0.01)</f>
        <v>15:29</v>
      </c>
      <c r="P105" s="42" t="str">
        <f t="shared" ref="P105:P107" si="117">(IFERROR(I105-H105,0)*24)-1</f>
        <v>8</v>
      </c>
      <c r="Q105" s="40">
        <v>0.2708333333333333</v>
      </c>
      <c r="R105" s="40">
        <v>0.5</v>
      </c>
      <c r="S105" s="42"/>
      <c r="T105" s="42"/>
      <c r="U105" s="40">
        <v>0.3541666666666667</v>
      </c>
      <c r="V105" s="40" t="str">
        <f t="shared" ref="V105:V107" si="118">IF(U105=0,"",U105+0.021)</f>
        <v>9:00</v>
      </c>
      <c r="W105" s="42"/>
      <c r="X105" s="42"/>
      <c r="Y105" s="42" t="str">
        <f t="shared" ref="Y105:Y107" si="119">(IFERROR(R105-Q105,0)*24)</f>
        <v>5.5</v>
      </c>
      <c r="Z105" s="42"/>
      <c r="AA105" s="42"/>
      <c r="AB105" s="42"/>
      <c r="AC105" s="42"/>
    </row>
    <row r="106" ht="15.75" customHeight="1">
      <c r="E106" s="39"/>
      <c r="F106" s="39"/>
      <c r="G106" s="39"/>
      <c r="H106" s="40">
        <v>0.3333333333333333</v>
      </c>
      <c r="I106" s="40">
        <v>0.75</v>
      </c>
      <c r="J106" s="40">
        <v>0.625</v>
      </c>
      <c r="K106" s="40" t="str">
        <f t="shared" si="114"/>
        <v>15:59</v>
      </c>
      <c r="L106" s="40">
        <v>0.3958333333333333</v>
      </c>
      <c r="M106" s="40" t="str">
        <f t="shared" si="115"/>
        <v>9:44</v>
      </c>
      <c r="N106" s="40">
        <v>0.7083333333333334</v>
      </c>
      <c r="O106" s="40" t="str">
        <f t="shared" si="116"/>
        <v>17:14</v>
      </c>
      <c r="P106" s="42" t="str">
        <f t="shared" si="117"/>
        <v>9</v>
      </c>
      <c r="Q106" s="40"/>
      <c r="R106" s="40"/>
      <c r="S106" s="42"/>
      <c r="T106" s="42"/>
      <c r="U106" s="40"/>
      <c r="V106" s="40" t="str">
        <f t="shared" si="118"/>
        <v/>
      </c>
      <c r="W106" s="42"/>
      <c r="X106" s="42"/>
      <c r="Y106" s="42" t="str">
        <f t="shared" si="119"/>
        <v>0</v>
      </c>
      <c r="Z106" s="42"/>
      <c r="AA106" s="42"/>
      <c r="AB106" s="42"/>
      <c r="AC106" s="42"/>
    </row>
    <row r="107" ht="15.75" customHeight="1">
      <c r="E107" s="39"/>
      <c r="F107" s="39"/>
      <c r="G107" s="39" t="s">
        <v>42</v>
      </c>
      <c r="H107" s="40">
        <v>0.3333333333333333</v>
      </c>
      <c r="I107" s="40">
        <v>0.75</v>
      </c>
      <c r="J107" s="40">
        <v>0.625</v>
      </c>
      <c r="K107" s="40" t="str">
        <f t="shared" si="114"/>
        <v>15:59</v>
      </c>
      <c r="L107" s="40">
        <v>0.3958333333333333</v>
      </c>
      <c r="M107" s="40" t="str">
        <f t="shared" si="115"/>
        <v>9:44</v>
      </c>
      <c r="N107" s="40">
        <v>0.7083333333333334</v>
      </c>
      <c r="O107" s="40" t="str">
        <f t="shared" si="116"/>
        <v>17:14</v>
      </c>
      <c r="P107" s="42" t="str">
        <f t="shared" si="117"/>
        <v>9</v>
      </c>
      <c r="Q107" s="40"/>
      <c r="R107" s="40"/>
      <c r="S107" s="42"/>
      <c r="T107" s="42"/>
      <c r="U107" s="40"/>
      <c r="V107" s="40" t="str">
        <f t="shared" si="118"/>
        <v/>
      </c>
      <c r="W107" s="42"/>
      <c r="X107" s="42"/>
      <c r="Y107" s="42" t="str">
        <f t="shared" si="119"/>
        <v>0</v>
      </c>
      <c r="Z107" s="42"/>
      <c r="AA107" s="42"/>
      <c r="AB107" s="42"/>
      <c r="AC107" s="42"/>
    </row>
    <row r="108" ht="15.75" customHeight="1">
      <c r="E108" s="39"/>
      <c r="F108" s="39"/>
      <c r="G108" s="39"/>
      <c r="H108" s="40"/>
      <c r="I108" s="40"/>
      <c r="J108" s="40"/>
      <c r="K108" s="40"/>
      <c r="L108" s="40"/>
      <c r="M108" s="40"/>
      <c r="N108" s="40"/>
      <c r="O108" s="40"/>
      <c r="P108" s="42"/>
      <c r="Q108" s="40"/>
      <c r="R108" s="40"/>
      <c r="S108" s="42"/>
      <c r="T108" s="42"/>
      <c r="U108" s="40"/>
      <c r="V108" s="40"/>
      <c r="W108" s="42"/>
      <c r="X108" s="42"/>
      <c r="Y108" s="42"/>
      <c r="Z108" s="42"/>
      <c r="AA108" s="42"/>
      <c r="AB108" s="42"/>
      <c r="AC108" s="42"/>
    </row>
    <row r="109" ht="15.75" customHeight="1">
      <c r="E109" s="39"/>
      <c r="F109" s="39"/>
    </row>
    <row r="110" ht="15.75" customHeight="1">
      <c r="E110" s="39"/>
      <c r="F110" s="39"/>
      <c r="G110" s="39"/>
      <c r="H110" s="40"/>
      <c r="I110" s="40"/>
      <c r="J110" s="40"/>
      <c r="K110" s="40"/>
      <c r="L110" s="40"/>
      <c r="M110" s="40"/>
      <c r="N110" s="40"/>
      <c r="O110" s="40"/>
      <c r="P110" s="42"/>
      <c r="Q110" s="40"/>
      <c r="R110" s="40"/>
      <c r="S110" s="42"/>
      <c r="T110" s="42"/>
      <c r="U110" s="40"/>
      <c r="V110" s="40"/>
      <c r="W110" s="42"/>
      <c r="X110" s="42"/>
      <c r="Y110" s="42"/>
      <c r="Z110" s="42"/>
      <c r="AA110" s="42"/>
      <c r="AB110" s="42"/>
      <c r="AC110" s="42"/>
    </row>
    <row r="111" ht="15.75" customHeight="1">
      <c r="E111" s="39"/>
      <c r="F111" s="39"/>
      <c r="G111" s="39"/>
      <c r="H111" s="40"/>
      <c r="I111" s="40"/>
      <c r="J111" s="40"/>
      <c r="K111" s="40"/>
      <c r="L111" s="40"/>
      <c r="M111" s="40"/>
      <c r="N111" s="40"/>
      <c r="O111" s="40"/>
      <c r="P111" s="42"/>
      <c r="Q111" s="40"/>
      <c r="R111" s="40"/>
      <c r="S111" s="42"/>
      <c r="T111" s="42"/>
      <c r="U111" s="40"/>
      <c r="V111" s="40"/>
      <c r="W111" s="42"/>
      <c r="X111" s="42"/>
      <c r="Y111" s="42"/>
      <c r="Z111" s="42"/>
      <c r="AA111" s="42"/>
      <c r="AB111" s="42"/>
      <c r="AC111" s="42"/>
    </row>
    <row r="112" ht="15.75" customHeight="1">
      <c r="E112" s="39"/>
      <c r="F112" s="39"/>
      <c r="G112" s="39"/>
      <c r="H112" s="40"/>
      <c r="I112" s="40"/>
      <c r="J112" s="40"/>
      <c r="K112" s="40"/>
      <c r="L112" s="40"/>
      <c r="M112" s="40"/>
      <c r="N112" s="40"/>
      <c r="O112" s="40"/>
      <c r="P112" s="42"/>
      <c r="Q112" s="40"/>
      <c r="R112" s="40"/>
      <c r="S112" s="42"/>
      <c r="T112" s="42"/>
      <c r="U112" s="40"/>
      <c r="V112" s="40"/>
      <c r="W112" s="42"/>
      <c r="X112" s="42"/>
      <c r="Y112" s="42"/>
      <c r="Z112" s="42"/>
      <c r="AA112" s="42"/>
      <c r="AB112" s="42"/>
      <c r="AC112" s="42"/>
    </row>
    <row r="113" ht="15.75" customHeight="1">
      <c r="E113" s="39"/>
      <c r="F113" s="39"/>
      <c r="G113" s="39"/>
      <c r="H113" s="40"/>
      <c r="I113" s="40"/>
      <c r="J113" s="40"/>
      <c r="K113" s="40"/>
      <c r="L113" s="40"/>
      <c r="M113" s="40"/>
      <c r="N113" s="40"/>
      <c r="O113" s="40"/>
      <c r="P113" s="42"/>
      <c r="Q113" s="40"/>
      <c r="R113" s="40"/>
      <c r="S113" s="42"/>
      <c r="T113" s="42"/>
      <c r="U113" s="40"/>
      <c r="V113" s="40"/>
      <c r="W113" s="42"/>
      <c r="X113" s="42"/>
      <c r="Y113" s="42"/>
      <c r="Z113" s="42"/>
      <c r="AA113" s="42"/>
      <c r="AB113" s="42"/>
      <c r="AC113" s="42"/>
    </row>
    <row r="114" ht="15.75" customHeight="1">
      <c r="E114" s="39"/>
      <c r="F114" s="39"/>
      <c r="G114" s="39"/>
      <c r="H114" s="40"/>
      <c r="I114" s="40"/>
      <c r="J114" s="40"/>
      <c r="K114" s="40"/>
      <c r="L114" s="40"/>
      <c r="M114" s="40"/>
      <c r="N114" s="40"/>
      <c r="O114" s="40"/>
      <c r="P114" s="42"/>
      <c r="Q114" s="40"/>
      <c r="R114" s="40"/>
      <c r="S114" s="42"/>
      <c r="T114" s="42"/>
      <c r="U114" s="40"/>
      <c r="V114" s="40"/>
      <c r="W114" s="42"/>
      <c r="X114" s="42"/>
      <c r="Y114" s="42"/>
      <c r="Z114" s="42"/>
      <c r="AA114" s="42"/>
      <c r="AB114" s="42"/>
      <c r="AC114" s="42"/>
    </row>
    <row r="115" ht="15.75" customHeight="1">
      <c r="E115" s="39"/>
      <c r="F115" s="39"/>
      <c r="G115" s="39"/>
      <c r="H115" s="40"/>
      <c r="I115" s="40"/>
      <c r="J115" s="40"/>
      <c r="K115" s="40"/>
      <c r="L115" s="40"/>
      <c r="M115" s="40"/>
      <c r="N115" s="40"/>
      <c r="O115" s="40"/>
      <c r="P115" s="42"/>
      <c r="Q115" s="40"/>
      <c r="R115" s="40"/>
      <c r="S115" s="42"/>
      <c r="T115" s="42"/>
      <c r="U115" s="40"/>
      <c r="V115" s="40"/>
      <c r="W115" s="42"/>
      <c r="X115" s="42"/>
      <c r="Y115" s="42"/>
      <c r="Z115" s="42"/>
      <c r="AA115" s="42"/>
      <c r="AB115" s="42"/>
      <c r="AC115" s="42"/>
    </row>
    <row r="116" ht="15.75" customHeight="1">
      <c r="E116" s="39"/>
      <c r="F116" s="39"/>
      <c r="G116" s="39"/>
      <c r="H116" s="40"/>
      <c r="I116" s="40"/>
      <c r="J116" s="40"/>
      <c r="K116" s="40"/>
      <c r="L116" s="40"/>
      <c r="M116" s="40"/>
      <c r="N116" s="40"/>
      <c r="O116" s="40"/>
      <c r="P116" s="42"/>
      <c r="Q116" s="40"/>
      <c r="R116" s="40"/>
      <c r="S116" s="42"/>
      <c r="T116" s="42"/>
      <c r="U116" s="40"/>
      <c r="V116" s="40"/>
      <c r="W116" s="42"/>
      <c r="X116" s="42"/>
      <c r="Y116" s="42"/>
      <c r="Z116" s="42"/>
      <c r="AA116" s="42"/>
      <c r="AB116" s="42"/>
      <c r="AC116" s="42"/>
    </row>
    <row r="117" ht="15.75" customHeight="1"/>
    <row r="118" ht="15.75" customHeight="1">
      <c r="J118" s="43"/>
      <c r="K118" s="44"/>
      <c r="L118" s="43"/>
      <c r="M118" s="44"/>
      <c r="N118" s="43"/>
      <c r="O118" s="44"/>
      <c r="P118" s="42"/>
    </row>
    <row r="119" ht="15.75" customHeight="1">
      <c r="E119" t="s">
        <v>43</v>
      </c>
      <c r="G119" s="42" t="str">
        <f>COUNTIF(H$6:H$85,"6:30")</f>
        <v>5</v>
      </c>
      <c r="I119" s="42"/>
      <c r="J119" s="45" t="s">
        <v>44</v>
      </c>
      <c r="K119" s="46" t="str">
        <f>COUNTIF(J$6:J$104,"12:00")</f>
        <v>13</v>
      </c>
      <c r="L119" s="45" t="s">
        <v>45</v>
      </c>
      <c r="M119" s="46" t="str">
        <f>COUNTIF(L$6:L$34,"7:15")</f>
        <v>0</v>
      </c>
      <c r="N119" s="45" t="s">
        <v>46</v>
      </c>
      <c r="O119" s="46" t="str">
        <f>COUNTIF(N$6:N$34,"14:30")</f>
        <v>1</v>
      </c>
      <c r="Q119" s="42" t="str">
        <f>COUNTIF(Q$6:Q$85,"6:30")</f>
        <v>4</v>
      </c>
      <c r="U119" t="s">
        <v>47</v>
      </c>
      <c r="V119" t="str">
        <f>COUNTIF(U$6:U$101,"7:30")</f>
        <v>2</v>
      </c>
    </row>
    <row r="120" ht="15.75" customHeight="1">
      <c r="E120" t="s">
        <v>48</v>
      </c>
      <c r="G120" s="42" t="str">
        <f>COUNTIF(H$6:H$85,"7:00")</f>
        <v>6</v>
      </c>
      <c r="J120" s="45" t="s">
        <v>49</v>
      </c>
      <c r="K120" s="46" t="str">
        <f>COUNTIF(J$6:J$104,"12:30")</f>
        <v>1</v>
      </c>
      <c r="L120" s="45" t="s">
        <v>50</v>
      </c>
      <c r="M120" s="46" t="str">
        <f>COUNTIF(L$6:L$34,"7:30")</f>
        <v>0</v>
      </c>
      <c r="N120" s="45" t="s">
        <v>51</v>
      </c>
      <c r="O120" s="46" t="str">
        <f>COUNTIF(N$6:N$34,"14:45")</f>
        <v>0</v>
      </c>
      <c r="Q120" s="42" t="str">
        <f>COUNTIF(Q$6:Q$85,"7:00")</f>
        <v>3</v>
      </c>
      <c r="U120" t="s">
        <v>52</v>
      </c>
      <c r="V120" t="str">
        <f>COUNTIF(U$6:U$101,"8:00")</f>
        <v>2</v>
      </c>
    </row>
    <row r="121" ht="15.75" customHeight="1">
      <c r="E121" t="s">
        <v>53</v>
      </c>
      <c r="G121" s="42" t="str">
        <f>COUNTIF(H$6:H$85,"7:30")</f>
        <v>2</v>
      </c>
      <c r="J121" s="45" t="s">
        <v>54</v>
      </c>
      <c r="K121" s="46" t="str">
        <f>COUNTIF(J$6:J$85,"13:00")</f>
        <v>12</v>
      </c>
      <c r="L121" s="45" t="s">
        <v>55</v>
      </c>
      <c r="M121" s="46" t="str">
        <f>COUNTIF(L$6:L$34,"7:45")</f>
        <v>0</v>
      </c>
      <c r="N121" s="45" t="s">
        <v>56</v>
      </c>
      <c r="O121" s="46" t="str">
        <f>COUNTIF(N$6:N$34,"15:00")</f>
        <v>0</v>
      </c>
      <c r="Q121" s="42" t="str">
        <f>COUNTIF(Q$6:Q$85,"7:30")</f>
        <v>0</v>
      </c>
      <c r="U121" t="s">
        <v>57</v>
      </c>
      <c r="V121" t="str">
        <f>COUNTIF(U$6:U$101,"8:30")</f>
        <v>4</v>
      </c>
    </row>
    <row r="122" ht="15.75" customHeight="1">
      <c r="E122" t="s">
        <v>58</v>
      </c>
      <c r="G122" s="42" t="str">
        <f>COUNTIF(H$6:H$85,"8:00")</f>
        <v>13</v>
      </c>
      <c r="J122" s="45" t="s">
        <v>59</v>
      </c>
      <c r="K122" s="46" t="str">
        <f>COUNTIF(J$9:J$34,"13:30")</f>
        <v>1</v>
      </c>
      <c r="L122" s="45" t="s">
        <v>60</v>
      </c>
      <c r="M122" s="46" t="str">
        <f>COUNTIF(L$6:L$101,"8:00")</f>
        <v>2</v>
      </c>
      <c r="N122" s="45" t="s">
        <v>61</v>
      </c>
      <c r="O122" s="46" t="str">
        <f>COUNTIF(N$6:N$34,"15:15")</f>
        <v>0</v>
      </c>
      <c r="Q122" s="42" t="str">
        <f>COUNTIF(Q$6:Q$85,"8:00")</f>
        <v>7</v>
      </c>
      <c r="U122" t="s">
        <v>62</v>
      </c>
      <c r="V122" t="str">
        <f>COUNTIF(U$6:U$101,"9:00")</f>
        <v>4</v>
      </c>
    </row>
    <row r="123" ht="15.75" customHeight="1">
      <c r="E123" t="s">
        <v>63</v>
      </c>
      <c r="G123" s="42" t="str">
        <f>COUNTIF(H$6:H$85,"8:30")</f>
        <v>1</v>
      </c>
      <c r="J123" s="45" t="s">
        <v>64</v>
      </c>
      <c r="K123" s="46" t="str">
        <f>COUNTIF(J$6:J$104,"14:00")</f>
        <v>6</v>
      </c>
      <c r="L123" s="45" t="s">
        <v>65</v>
      </c>
      <c r="M123" s="46" t="str">
        <f>COUNTIF(L$6:L$101,"8:15")</f>
        <v>1</v>
      </c>
      <c r="N123" s="45" t="s">
        <v>66</v>
      </c>
      <c r="O123" s="46" t="str">
        <f>COUNTIF(N$6:N$34,"15:30")</f>
        <v>1</v>
      </c>
      <c r="Q123" s="42" t="str">
        <f>COUNTIF(Q$6:Q$85,"8:30")</f>
        <v>4</v>
      </c>
      <c r="U123" t="s">
        <v>67</v>
      </c>
      <c r="V123" t="str">
        <f>COUNTIF(U$6:U$101,"9:30")</f>
        <v>3</v>
      </c>
    </row>
    <row r="124" ht="15.75" customHeight="1">
      <c r="E124" t="s">
        <v>68</v>
      </c>
      <c r="G124" s="42" t="str">
        <f>COUNTIF(H$6:H$85,"9:00")</f>
        <v>9</v>
      </c>
      <c r="J124" s="45" t="s">
        <v>69</v>
      </c>
      <c r="K124" s="46" t="str">
        <f>COUNTIF(J$9:J$34,"14:30")</f>
        <v>0</v>
      </c>
      <c r="L124" s="45" t="s">
        <v>70</v>
      </c>
      <c r="M124" s="46" t="str">
        <f>COUNTIF(L$6:L$101,"8:30")</f>
        <v>5</v>
      </c>
      <c r="N124" s="45" t="s">
        <v>71</v>
      </c>
      <c r="O124" s="46" t="str">
        <f>COUNTIF(N$6:N$34,"15:45")</f>
        <v>1</v>
      </c>
      <c r="Q124" s="42" t="str">
        <f>COUNTIF(Q$6:Q$85,"9:00")</f>
        <v>4</v>
      </c>
      <c r="U124" t="s">
        <v>72</v>
      </c>
      <c r="V124" t="str">
        <f>COUNTIF(U$6:U$101,"10:00")</f>
        <v>2</v>
      </c>
    </row>
    <row r="125" ht="15.75" customHeight="1">
      <c r="E125" t="s">
        <v>73</v>
      </c>
      <c r="G125" s="42" t="str">
        <f>COUNTIF(H$6:H$85,"9:30")</f>
        <v>0</v>
      </c>
      <c r="J125" s="45" t="s">
        <v>74</v>
      </c>
      <c r="K125" s="46" t="str">
        <f>COUNTIF(J$9:J$34,"15:00")</f>
        <v>2</v>
      </c>
      <c r="L125" s="45" t="s">
        <v>75</v>
      </c>
      <c r="M125" s="46" t="str">
        <f>COUNTIF(L$6:L$101,"8:45")</f>
        <v>3</v>
      </c>
      <c r="N125" s="45" t="s">
        <v>76</v>
      </c>
      <c r="O125" s="46" t="str">
        <f>COUNTIF(N$6:N$34,"16:00")</f>
        <v>1</v>
      </c>
      <c r="Q125" s="42" t="str">
        <f>COUNTIF(Q$6:Q$85,"9:30")</f>
        <v>1</v>
      </c>
      <c r="U125" t="s">
        <v>77</v>
      </c>
      <c r="V125" t="str">
        <f>COUNTIF(U$6:U$101,"10:30")</f>
        <v>3</v>
      </c>
    </row>
    <row r="126" ht="15.75" customHeight="1">
      <c r="E126" t="s">
        <v>78</v>
      </c>
      <c r="G126" s="42" t="str">
        <f>COUNTIF(H$6:H$85,"10:00")</f>
        <v>3</v>
      </c>
      <c r="J126" s="45" t="s">
        <v>79</v>
      </c>
      <c r="K126" s="46" t="str">
        <f>COUNTIF(J$9:J$34,"15:30")</f>
        <v>0</v>
      </c>
      <c r="L126" s="45" t="s">
        <v>80</v>
      </c>
      <c r="M126" s="46" t="str">
        <f>COUNTIF(L$6:L$101,"9:00")</f>
        <v>0</v>
      </c>
      <c r="N126" s="45" t="s">
        <v>81</v>
      </c>
      <c r="O126" s="46" t="str">
        <f>COUNTIF(N$6:N$34,"16:15")</f>
        <v>0</v>
      </c>
      <c r="Q126" s="42" t="str">
        <f>COUNTIF(Q$6:Q$85,"10:00")</f>
        <v>8</v>
      </c>
      <c r="U126" t="s">
        <v>82</v>
      </c>
      <c r="V126" t="str">
        <f>COUNTIF(U$6:U$101,"11:00")</f>
        <v>2</v>
      </c>
    </row>
    <row r="127" ht="15.75" customHeight="1">
      <c r="E127" t="s">
        <v>83</v>
      </c>
      <c r="G127" s="42" t="str">
        <f>COUNTIF(I$6:I$85,"15:30")</f>
        <v>0</v>
      </c>
      <c r="J127" s="45" t="s">
        <v>84</v>
      </c>
      <c r="K127" s="46" t="str">
        <f>COUNTIF(J$9:J$34,"16:00")</f>
        <v>0</v>
      </c>
      <c r="L127" s="45" t="s">
        <v>85</v>
      </c>
      <c r="M127" s="46" t="str">
        <f>COUNTIF(L$6:L$101,"9:15")</f>
        <v>4</v>
      </c>
      <c r="N127" s="45" t="s">
        <v>86</v>
      </c>
      <c r="O127" s="46" t="str">
        <f>COUNTIF(N$6:N$34,"16:30")</f>
        <v>0</v>
      </c>
      <c r="Q127" s="42" t="str">
        <f>COUNTIF(R$6:R$85,"15:30")</f>
        <v>0</v>
      </c>
      <c r="U127" t="s">
        <v>87</v>
      </c>
      <c r="V127" t="str">
        <f>COUNTIF(U$6:U$30,"11:30")</f>
        <v>0</v>
      </c>
    </row>
    <row r="128" ht="15.75" customHeight="1">
      <c r="E128" t="s">
        <v>88</v>
      </c>
      <c r="G128" s="42" t="str">
        <f>COUNTIF(I$6:I$85,"16:00")</f>
        <v>0</v>
      </c>
      <c r="J128" s="45" t="s">
        <v>89</v>
      </c>
      <c r="K128" s="46"/>
      <c r="L128" s="45" t="s">
        <v>90</v>
      </c>
      <c r="M128" s="46" t="str">
        <f>COUNTIF(L$6:L$101,"9:30")</f>
        <v>5</v>
      </c>
      <c r="N128" s="45" t="s">
        <v>91</v>
      </c>
      <c r="O128" s="46" t="str">
        <f>COUNTIF(N$6:N$34,"16:45")</f>
        <v>1</v>
      </c>
      <c r="Q128" s="42" t="str">
        <f>COUNTIF(R$6:R$85,"16:00")</f>
        <v>1</v>
      </c>
    </row>
    <row r="129" ht="15.75" customHeight="1">
      <c r="E129" t="s">
        <v>92</v>
      </c>
      <c r="G129" s="42" t="str">
        <f>COUNTIF(I$6:I$85,"16:30")</f>
        <v>1</v>
      </c>
      <c r="J129" s="47" t="s">
        <v>93</v>
      </c>
      <c r="K129" s="48"/>
      <c r="L129" s="47" t="s">
        <v>94</v>
      </c>
      <c r="M129" s="48" t="str">
        <f>COUNTIF(L$6:L$101,"9:45")</f>
        <v>3</v>
      </c>
      <c r="N129" s="47" t="s">
        <v>95</v>
      </c>
      <c r="O129" s="48" t="str">
        <f>COUNTIF(N$6:N$34,"17:00")</f>
        <v>0</v>
      </c>
      <c r="Q129" s="42" t="str">
        <f>COUNTIF(R$6:R$85,"16:30")</f>
        <v>0</v>
      </c>
      <c r="V129" t="str">
        <f>SUM(V119:V127)</f>
        <v>22</v>
      </c>
    </row>
    <row r="130" ht="15.75" customHeight="1">
      <c r="E130" t="s">
        <v>96</v>
      </c>
      <c r="G130" s="42" t="str">
        <f>COUNTIF(I$6:I$85,"17:00")</f>
        <v>0</v>
      </c>
      <c r="K130" s="42" t="str">
        <f>SUM(K119:K128)</f>
        <v>35</v>
      </c>
      <c r="L130" s="42"/>
      <c r="M130" s="42" t="str">
        <f>SUM(M119:M129)</f>
        <v>23</v>
      </c>
      <c r="N130" s="42"/>
      <c r="O130" s="42" t="str">
        <f>SUM(O119:O129)</f>
        <v>5</v>
      </c>
      <c r="Q130" s="42" t="str">
        <f>COUNTIF(R$6:R$85,"17:00")</f>
        <v>0</v>
      </c>
    </row>
    <row r="131" ht="15.75" customHeight="1">
      <c r="E131" t="s">
        <v>97</v>
      </c>
      <c r="G131" s="42" t="str">
        <f>COUNTIF(I$6:I$85,"17:30")</f>
        <v>0</v>
      </c>
      <c r="Q131" s="42" t="str">
        <f>COUNTIF(R$6:R$85,"17:30")</f>
        <v>0</v>
      </c>
    </row>
    <row r="132" ht="15.75" customHeight="1">
      <c r="E132" t="s">
        <v>98</v>
      </c>
      <c r="G132" s="42" t="str">
        <f>COUNTIF(I$6:I$85,"18:00")</f>
        <v>0</v>
      </c>
      <c r="Q132" s="42" t="str">
        <f>COUNTIF(R$6:R$85,"18:00")</f>
        <v>0</v>
      </c>
    </row>
    <row r="133" ht="15.75" customHeight="1">
      <c r="E133" t="s">
        <v>99</v>
      </c>
      <c r="G133" s="42" t="str">
        <f>COUNTIF(I$6:I$85,"18:30")</f>
        <v>0</v>
      </c>
      <c r="Q133" s="42" t="str">
        <f>COUNTIF(R$6:R$85,"18:30")</f>
        <v>0</v>
      </c>
    </row>
    <row r="134" ht="15.75" customHeight="1">
      <c r="E134" t="s">
        <v>100</v>
      </c>
      <c r="G134" s="42" t="str">
        <f>COUNTIF(I$6:I$85,"19:00")</f>
        <v>0</v>
      </c>
      <c r="Q134" s="42" t="str">
        <f>COUNTIF(Q$6:R$85,"19:00")</f>
        <v>0</v>
      </c>
    </row>
  </sheetData>
  <mergeCells count="13">
    <mergeCell ref="H4:I4"/>
    <mergeCell ref="J4:K4"/>
    <mergeCell ref="L4:M4"/>
    <mergeCell ref="N4:O4"/>
    <mergeCell ref="Q4:R4"/>
    <mergeCell ref="S4:T4"/>
    <mergeCell ref="Q3:Y3"/>
    <mergeCell ref="U4:V4"/>
    <mergeCell ref="W4:X4"/>
    <mergeCell ref="B3:B5"/>
    <mergeCell ref="C3:C5"/>
    <mergeCell ref="D3:D5"/>
    <mergeCell ref="H3:P3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5.0" topLeftCell="F6" activePane="bottomRight" state="frozen"/>
      <selection activeCell="F1" sqref="F1" pane="topRight"/>
      <selection activeCell="A6" sqref="A6" pane="bottomLeft"/>
      <selection activeCell="F6" sqref="F6" pane="bottomRight"/>
    </sheetView>
  </sheetViews>
  <sheetFormatPr customHeight="1" defaultColWidth="16.83" defaultRowHeight="15.0" outlineLevelCol="1"/>
  <cols>
    <col customWidth="1" min="1" max="1" width="1.0"/>
    <col customWidth="1" min="2" max="2" width="3.5"/>
    <col customWidth="1" hidden="1" min="3" max="3" width="8.67"/>
    <col customWidth="1" hidden="1" min="4" max="4" width="7.83"/>
    <col customWidth="1" min="5" max="5" width="41.17"/>
    <col customWidth="1" min="6" max="6" width="14.0"/>
    <col customWidth="1" min="7" max="7" width="12.5"/>
    <col customWidth="1" min="8" max="8" width="16.33"/>
    <col customWidth="1" min="9" max="9" width="14.83"/>
    <col customWidth="1" min="10" max="10" width="23.33"/>
    <col customWidth="1" min="11" max="11" width="26.0"/>
    <col customWidth="1" min="12" max="12" width="21.17" outlineLevel="1"/>
    <col customWidth="1" min="13" max="13" width="24.5" outlineLevel="1"/>
    <col customWidth="1" min="14" max="14" width="21.17" outlineLevel="1"/>
    <col customWidth="1" min="15" max="15" width="24.5" outlineLevel="1"/>
    <col customWidth="1" min="16" max="16" width="14.67"/>
    <col customWidth="1" min="17" max="17" width="17.83"/>
    <col customWidth="1" min="18" max="18" width="16.33"/>
    <col customWidth="1" min="19" max="19" width="24.17"/>
    <col customWidth="1" min="20" max="20" width="27.67"/>
    <col customWidth="1" min="21" max="21" width="22.5"/>
    <col customWidth="1" min="22" max="22" width="26.0"/>
    <col customWidth="1" min="23" max="23" width="22.5"/>
    <col customWidth="1" min="24" max="24" width="26.0"/>
    <col customWidth="1" min="25" max="26" width="16.0"/>
    <col customWidth="1" min="27" max="27" width="18.33"/>
    <col customWidth="1" min="28" max="28" width="15.5"/>
    <col customWidth="1" min="29" max="29" width="16.33"/>
    <col customWidth="1" min="30" max="30" width="13.67"/>
  </cols>
  <sheetData>
    <row r="1">
      <c r="P1" s="49" t="s">
        <v>101</v>
      </c>
      <c r="Y1" s="49" t="s">
        <v>102</v>
      </c>
      <c r="Z1" s="49"/>
      <c r="AA1" s="49"/>
      <c r="AB1" s="49"/>
      <c r="AC1" s="49"/>
    </row>
    <row r="2">
      <c r="E2" t="s">
        <v>0</v>
      </c>
    </row>
    <row r="3" ht="14.25" customHeight="1">
      <c r="B3" s="1" t="s">
        <v>1</v>
      </c>
      <c r="C3" s="1" t="s">
        <v>2</v>
      </c>
      <c r="D3" s="1" t="s">
        <v>3</v>
      </c>
      <c r="E3" s="2" t="s">
        <v>4</v>
      </c>
      <c r="F3" s="2"/>
      <c r="G3" s="2"/>
      <c r="H3" s="3" t="s">
        <v>5</v>
      </c>
      <c r="I3" s="4"/>
      <c r="J3" s="4"/>
      <c r="K3" s="4"/>
      <c r="L3" s="4"/>
      <c r="M3" s="4"/>
      <c r="N3" s="4"/>
      <c r="O3" s="4"/>
      <c r="P3" s="5"/>
      <c r="Q3" s="3" t="s">
        <v>6</v>
      </c>
      <c r="R3" s="4"/>
      <c r="S3" s="4"/>
      <c r="T3" s="4"/>
      <c r="U3" s="4"/>
      <c r="V3" s="4"/>
      <c r="W3" s="4"/>
      <c r="X3" s="4"/>
      <c r="Y3" s="5"/>
      <c r="Z3" s="6"/>
      <c r="AA3" s="6"/>
      <c r="AB3" s="6"/>
      <c r="AC3" s="6"/>
      <c r="AD3" s="7"/>
    </row>
    <row r="4">
      <c r="B4" s="8"/>
      <c r="C4" s="8"/>
      <c r="D4" s="8"/>
      <c r="E4" s="9" t="s">
        <v>7</v>
      </c>
      <c r="F4" s="9"/>
      <c r="G4" s="9"/>
      <c r="H4" s="10" t="s">
        <v>8</v>
      </c>
      <c r="I4" s="11"/>
      <c r="J4" s="10" t="s">
        <v>9</v>
      </c>
      <c r="K4" s="11"/>
      <c r="L4" s="10" t="s">
        <v>10</v>
      </c>
      <c r="M4" s="11"/>
      <c r="N4" s="10" t="s">
        <v>11</v>
      </c>
      <c r="O4" s="11"/>
      <c r="P4" s="12"/>
      <c r="Q4" s="10" t="s">
        <v>8</v>
      </c>
      <c r="R4" s="11"/>
      <c r="S4" s="10" t="s">
        <v>9</v>
      </c>
      <c r="T4" s="11"/>
      <c r="U4" s="10" t="s">
        <v>10</v>
      </c>
      <c r="V4" s="11"/>
      <c r="W4" s="10" t="s">
        <v>11</v>
      </c>
      <c r="X4" s="11"/>
      <c r="Y4" s="12"/>
      <c r="Z4" s="13"/>
      <c r="AA4" s="13"/>
      <c r="AB4" s="13"/>
      <c r="AC4" s="13"/>
      <c r="AD4" s="7"/>
    </row>
    <row r="5">
      <c r="B5" s="14"/>
      <c r="C5" s="14"/>
      <c r="D5" s="14"/>
      <c r="E5" s="15" t="s">
        <v>12</v>
      </c>
      <c r="F5" s="15" t="s">
        <v>103</v>
      </c>
      <c r="G5" s="15" t="s">
        <v>14</v>
      </c>
      <c r="H5" s="16" t="s">
        <v>104</v>
      </c>
      <c r="I5" s="16" t="s">
        <v>105</v>
      </c>
      <c r="J5" s="16" t="s">
        <v>106</v>
      </c>
      <c r="K5" s="16" t="s">
        <v>107</v>
      </c>
      <c r="L5" s="16" t="s">
        <v>108</v>
      </c>
      <c r="M5" s="16" t="s">
        <v>109</v>
      </c>
      <c r="N5" s="16" t="s">
        <v>110</v>
      </c>
      <c r="O5" s="16" t="s">
        <v>111</v>
      </c>
      <c r="P5" s="16" t="s">
        <v>112</v>
      </c>
      <c r="Q5" s="16" t="s">
        <v>113</v>
      </c>
      <c r="R5" s="16" t="s">
        <v>114</v>
      </c>
      <c r="S5" s="16" t="s">
        <v>115</v>
      </c>
      <c r="T5" s="16" t="s">
        <v>116</v>
      </c>
      <c r="U5" s="16" t="s">
        <v>117</v>
      </c>
      <c r="V5" s="16" t="s">
        <v>118</v>
      </c>
      <c r="W5" s="16" t="s">
        <v>119</v>
      </c>
      <c r="X5" s="16" t="s">
        <v>120</v>
      </c>
      <c r="Y5" s="16" t="s">
        <v>121</v>
      </c>
      <c r="Z5" s="17" t="s">
        <v>122</v>
      </c>
      <c r="AA5" s="17" t="s">
        <v>123</v>
      </c>
      <c r="AB5" s="17" t="s">
        <v>124</v>
      </c>
      <c r="AC5" s="17" t="s">
        <v>125</v>
      </c>
      <c r="AD5" s="7" t="s">
        <v>126</v>
      </c>
    </row>
    <row r="6">
      <c r="B6" s="18">
        <v>1.0</v>
      </c>
      <c r="C6" s="18" t="s">
        <v>38</v>
      </c>
      <c r="D6" s="19"/>
      <c r="E6" s="20" t="str">
        <f>Personal!G6</f>
        <v>Nancy Beatriz Pedroza</v>
      </c>
      <c r="F6" s="20" t="s">
        <v>13</v>
      </c>
      <c r="G6" s="20" t="str">
        <f>Personal!H6</f>
        <v>AGENTE</v>
      </c>
      <c r="H6" s="21">
        <v>0.7083333333333334</v>
      </c>
      <c r="I6" s="21">
        <v>1.0</v>
      </c>
      <c r="J6" s="21">
        <v>0.7916666666666666</v>
      </c>
      <c r="K6" s="21">
        <v>0.8125</v>
      </c>
      <c r="L6" s="21">
        <v>0.8125</v>
      </c>
      <c r="M6" s="21" t="str">
        <f>IF(G6="AGENTE",'Semana 1'!$L6+0.014,IF(G6="REDES",'Semana 1'!$L6+0.014,IF(G6="AGENTE RM",'Semana 1'!$L6+0.014,IF(G6="AGENTE APERTURA",'Semana 1'!$L6+0.014,IF(G6="AGENTE CIERRE",'Semana 1'!$L6+0.014," - ")))))</f>
        <v>19:50</v>
      </c>
      <c r="N6" s="21">
        <v>0.8263888888888888</v>
      </c>
      <c r="O6" s="21" t="str">
        <f>IF(G6="AGENTE",'Semana 1'!$N6+0.007,IF(G6="REDES",'Semana 1'!$N6+0.007,IF(G6="AGENTE RM",'Semana 1'!$N6+0.007,IF(G6="AGENTE APERTURA",'Semana 1'!$N6+0.007,IF(G6="AGENTE CIERRE",'Semana 1'!$N6+0.007," - ")))))</f>
        <v>20:00</v>
      </c>
      <c r="P6" s="22" t="str">
        <f t="shared" ref="P6:P87" si="2">(IFERROR(I6-H6,0)*24)-1</f>
        <v>6.0</v>
      </c>
      <c r="Q6" s="21">
        <v>0.7083333333333334</v>
      </c>
      <c r="R6" s="21">
        <v>1.0</v>
      </c>
      <c r="S6" s="28">
        <v>0.7916666666666666</v>
      </c>
      <c r="T6" s="28">
        <v>0.8125</v>
      </c>
      <c r="U6" s="21">
        <v>0.8125</v>
      </c>
      <c r="V6" s="21">
        <v>0.8265</v>
      </c>
      <c r="W6" s="28">
        <v>0.8263888888888888</v>
      </c>
      <c r="X6" s="28">
        <v>0.8333888888888888</v>
      </c>
      <c r="Y6" s="22" t="str">
        <f>(IFERROR(R6-Q6,0)*24)-1</f>
        <v>6.0</v>
      </c>
      <c r="Z6" s="22" t="str">
        <f t="shared" ref="Z6:AC6" si="1">$P6</f>
        <v>6.0</v>
      </c>
      <c r="AA6" s="22" t="str">
        <f t="shared" si="1"/>
        <v>6.0</v>
      </c>
      <c r="AB6" s="22" t="str">
        <f t="shared" si="1"/>
        <v>6.0</v>
      </c>
      <c r="AC6" s="22" t="str">
        <f t="shared" si="1"/>
        <v>6.0</v>
      </c>
      <c r="AD6" s="23" t="str">
        <f t="shared" ref="AD6:AD81" si="4">P6+Z6+AA6+AB6+AC6+Y6</f>
        <v>36</v>
      </c>
    </row>
    <row r="7">
      <c r="B7" s="18">
        <v>2.0</v>
      </c>
      <c r="C7" s="18" t="s">
        <v>38</v>
      </c>
      <c r="D7" s="19"/>
      <c r="E7" s="20" t="str">
        <f>Personal!G7</f>
        <v>Carina Alejandra Peliz Reban</v>
      </c>
      <c r="F7" s="20" t="s">
        <v>13</v>
      </c>
      <c r="G7" s="20" t="str">
        <f>Personal!H7</f>
        <v>REDES</v>
      </c>
      <c r="H7" s="24">
        <v>0.375</v>
      </c>
      <c r="I7" s="24" t="str">
        <f t="shared" ref="I7:I25" si="5">IF(H7=0," ",IF(Q7=0,(H7+0.417),(H7+0.3756)))</f>
        <v>18:00</v>
      </c>
      <c r="J7" s="24">
        <v>0.5</v>
      </c>
      <c r="K7" s="24" t="str">
        <f>IF(G7="AGENTE",'Semana 1'!$J7+0.042,IF(G7="REDES",'Semana 1'!$J7+0.042,IF(G7="AGENTE RM",'Semana 1'!$J7+0.042,IF(G7="AGENTE APERTURA",'Semana 1'!$J7+0.021,IF(G7="AGENTE CIERRE",'Semana 1'!$J7+0.021," - ")))))</f>
        <v>13:00</v>
      </c>
      <c r="L7" s="24">
        <v>0.4166666666666667</v>
      </c>
      <c r="M7" s="24" t="str">
        <f>IF(G7="AGENTE",'Semana 1'!$L7+0.014,IF(G7="REDES",'Semana 1'!$L7+0.014,IF(G7="AGENTE RM",'Semana 1'!$L7+0.014,IF(G7="AGENTE APERTURA",'Semana 1'!$L7+0.014,IF(G7="AGENTE CIERRE",'Semana 1'!$L7+0.014," - ")))))</f>
        <v>10:20</v>
      </c>
      <c r="N7" s="24">
        <v>0.6458333333333334</v>
      </c>
      <c r="O7" s="24" t="str">
        <f>IF(G7="AGENTE",'Semana 1'!$N7+0.007,IF(G7="REDES",'Semana 1'!$N7+0.007,IF(G7="AGENTE RM",'Semana 1'!$N7+0.007,IF(G7="AGENTE APERTURA",'Semana 1'!$N7+0.007,IF(G7="AGENTE CIERRE",'Semana 1'!$N7+0.007," - ")))))</f>
        <v>15:40</v>
      </c>
      <c r="P7" s="25" t="str">
        <f t="shared" si="2"/>
        <v>8.0</v>
      </c>
      <c r="Q7" s="24">
        <v>0.4166666666666667</v>
      </c>
      <c r="R7" s="24" t="str">
        <f>IF(Q7=0,"",Q7+0.209)</f>
        <v>15:00</v>
      </c>
      <c r="S7" s="26"/>
      <c r="T7" s="26"/>
      <c r="U7" s="24">
        <v>0.4375</v>
      </c>
      <c r="V7" s="24" t="str">
        <f t="shared" ref="V7:V10" si="6">IF(U7=0,"",U7+0.021)</f>
        <v>11:00</v>
      </c>
      <c r="W7" s="26"/>
      <c r="X7" s="26"/>
      <c r="Y7" s="25" t="str">
        <f t="shared" ref="Y7:Y25" si="7">(IFERROR(R7-Q7,0)*24)</f>
        <v>5.0</v>
      </c>
      <c r="Z7" s="25" t="str">
        <f t="shared" ref="Z7:AC7" si="3">$P7</f>
        <v>8.0</v>
      </c>
      <c r="AA7" s="25" t="str">
        <f t="shared" si="3"/>
        <v>8.0</v>
      </c>
      <c r="AB7" s="25" t="str">
        <f t="shared" si="3"/>
        <v>8.0</v>
      </c>
      <c r="AC7" s="25" t="str">
        <f t="shared" si="3"/>
        <v>8.0</v>
      </c>
      <c r="AD7" s="27" t="str">
        <f t="shared" si="4"/>
        <v>45</v>
      </c>
    </row>
    <row r="8">
      <c r="B8" s="18">
        <v>3.0</v>
      </c>
      <c r="C8" s="18" t="s">
        <v>39</v>
      </c>
      <c r="D8" s="19"/>
      <c r="E8" s="20" t="str">
        <f>Personal!G8</f>
        <v>-</v>
      </c>
      <c r="F8" s="20" t="s">
        <v>13</v>
      </c>
      <c r="G8" s="20" t="str">
        <f>Personal!H8</f>
        <v>-</v>
      </c>
      <c r="H8" s="21"/>
      <c r="I8" s="21" t="str">
        <f t="shared" si="5"/>
        <v> </v>
      </c>
      <c r="J8" s="21"/>
      <c r="K8" s="21" t="str">
        <f>IF(G8="AGENTE",'Semana 1'!$J8+0.042,IF(G8="REDES",'Semana 1'!$J8+0.042,IF(G8="AGENTE RM",'Semana 1'!$J8+0.042,IF(G8="AGENTE APERTURA",'Semana 1'!$J8+0.021,IF(G8="AGENTE CIERRE",'Semana 1'!$J8+0.021," - ")))))</f>
        <v> - </v>
      </c>
      <c r="L8" s="21"/>
      <c r="M8" s="21" t="str">
        <f>IF(G8="AGENTE",'Semana 1'!$L8+0.014,IF(G8="REDES",'Semana 1'!$L8+0.014,IF(G8="AGENTE RM",'Semana 1'!$L8+0.014,IF(G8="AGENTE APERTURA",'Semana 1'!$L8+0.014,IF(G8="AGENTE CIERRE",'Semana 1'!$L8+0.014," - ")))))</f>
        <v> - </v>
      </c>
      <c r="N8" s="21"/>
      <c r="O8" s="21" t="str">
        <f>IF(G8="AGENTE",'Semana 1'!$N8+0.007,IF(G8="REDES",'Semana 1'!$N8+0.007,IF(G8="AGENTE RM",'Semana 1'!$N8+0.007,IF(G8="AGENTE APERTURA",'Semana 1'!$N8+0.007,IF(G8="AGENTE CIERRE",'Semana 1'!$N8+0.007," - ")))))</f>
        <v> - </v>
      </c>
      <c r="P8" s="22" t="str">
        <f t="shared" si="2"/>
        <v>-1.0</v>
      </c>
      <c r="Q8" s="21"/>
      <c r="R8" s="21"/>
      <c r="S8" s="21"/>
      <c r="T8" s="21"/>
      <c r="U8" s="21"/>
      <c r="V8" s="21" t="str">
        <f t="shared" si="6"/>
        <v/>
      </c>
      <c r="W8" s="21"/>
      <c r="X8" s="21"/>
      <c r="Y8" s="22" t="str">
        <f t="shared" si="7"/>
        <v>0.0</v>
      </c>
      <c r="Z8" s="22" t="str">
        <f t="shared" ref="Z8:AC8" si="8">$P8</f>
        <v>-1.0</v>
      </c>
      <c r="AA8" s="22" t="str">
        <f t="shared" si="8"/>
        <v>-1.0</v>
      </c>
      <c r="AB8" s="22" t="str">
        <f t="shared" si="8"/>
        <v>-1.0</v>
      </c>
      <c r="AC8" s="22" t="str">
        <f t="shared" si="8"/>
        <v>-1.0</v>
      </c>
      <c r="AD8" s="23" t="str">
        <f t="shared" si="4"/>
        <v>-5</v>
      </c>
    </row>
    <row r="9">
      <c r="B9" s="18">
        <v>4.0</v>
      </c>
      <c r="C9" s="18" t="s">
        <v>38</v>
      </c>
      <c r="D9" s="19"/>
      <c r="E9" s="20" t="str">
        <f>Personal!G9</f>
        <v>Daisy Yomara Mateo</v>
      </c>
      <c r="F9" s="20" t="s">
        <v>13</v>
      </c>
      <c r="G9" s="20" t="str">
        <f>Personal!H9</f>
        <v>SOPORTE</v>
      </c>
      <c r="H9" s="24"/>
      <c r="I9" s="24" t="str">
        <f t="shared" si="5"/>
        <v> </v>
      </c>
      <c r="J9" s="24"/>
      <c r="K9" s="24" t="str">
        <f>IF(G9="AGENTE",'Semana 1'!$J9+0.042,IF(G9="REDES",'Semana 1'!$J9+0.042,IF(G9="AGENTE RM",'Semana 1'!$J9+0.042,IF(G9="AGENTE APERTURA",'Semana 1'!$J9+0.021,IF(G9="AGENTE CIERRE",'Semana 1'!$J9+0.021," - ")))))</f>
        <v> - </v>
      </c>
      <c r="L9" s="24"/>
      <c r="M9" s="24" t="str">
        <f>IF(G9="AGENTE",'Semana 1'!$L9+0.014,IF(G9="REDES",'Semana 1'!$L9+0.014,IF(G9="AGENTE RM",'Semana 1'!$L9+0.014,IF(G9="AGENTE APERTURA",'Semana 1'!$L9+0.014,IF(G9="AGENTE CIERRE",'Semana 1'!$L9+0.014," - ")))))</f>
        <v> - </v>
      </c>
      <c r="N9" s="24"/>
      <c r="O9" s="24" t="str">
        <f>IF(G9="AGENTE",'Semana 1'!$N9+0.007,IF(G9="REDES",'Semana 1'!$N9+0.007,IF(G9="AGENTE RM",'Semana 1'!$N9+0.007,IF(G9="AGENTE APERTURA",'Semana 1'!$N9+0.007,IF(G9="AGENTE CIERRE",'Semana 1'!$N9+0.007," - ")))))</f>
        <v> - </v>
      </c>
      <c r="P9" s="25" t="str">
        <f t="shared" si="2"/>
        <v>-1.0</v>
      </c>
      <c r="Q9" s="24"/>
      <c r="R9" s="24" t="str">
        <f t="shared" ref="R9:R25" si="10">IF(Q9=0,"",Q9+0.209)</f>
        <v/>
      </c>
      <c r="S9" s="26"/>
      <c r="T9" s="26"/>
      <c r="U9" s="24"/>
      <c r="V9" s="24" t="str">
        <f t="shared" si="6"/>
        <v/>
      </c>
      <c r="W9" s="26"/>
      <c r="X9" s="26"/>
      <c r="Y9" s="25" t="str">
        <f t="shared" si="7"/>
        <v>0.0</v>
      </c>
      <c r="Z9" s="25" t="str">
        <f t="shared" ref="Z9:AC9" si="9">$P9</f>
        <v>-1.0</v>
      </c>
      <c r="AA9" s="25" t="str">
        <f t="shared" si="9"/>
        <v>-1.0</v>
      </c>
      <c r="AB9" s="25" t="str">
        <f t="shared" si="9"/>
        <v>-1.0</v>
      </c>
      <c r="AC9" s="25" t="str">
        <f t="shared" si="9"/>
        <v>-1.0</v>
      </c>
      <c r="AD9" s="27" t="str">
        <f t="shared" si="4"/>
        <v>-5</v>
      </c>
    </row>
    <row r="10">
      <c r="B10" s="18">
        <v>5.0</v>
      </c>
      <c r="C10" s="18" t="s">
        <v>38</v>
      </c>
      <c r="D10" s="19"/>
      <c r="E10" s="20" t="str">
        <f>Personal!G10</f>
        <v>Carlo Giordiano Caballero Morales</v>
      </c>
      <c r="F10" s="20" t="s">
        <v>13</v>
      </c>
      <c r="G10" s="20" t="str">
        <f>Personal!H10</f>
        <v>REDES</v>
      </c>
      <c r="H10" s="21">
        <v>0.2916666666666667</v>
      </c>
      <c r="I10" s="21" t="str">
        <f t="shared" si="5"/>
        <v>16:00</v>
      </c>
      <c r="J10" s="21">
        <v>0.5416666666666666</v>
      </c>
      <c r="K10" s="21" t="str">
        <f>IF(G10="AGENTE",'Semana 1'!$J10+0.042,IF(G10="REDES",'Semana 1'!$J10+0.042,IF(G10="AGENTE RM",'Semana 1'!$J10+0.042,IF(G10="AGENTE APERTURA",'Semana 1'!$J10+0.021,IF(G10="AGENTE CIERRE",'Semana 1'!$J10+0.021," - ")))))</f>
        <v>14:00</v>
      </c>
      <c r="L10" s="21">
        <v>0.3611111111111111</v>
      </c>
      <c r="M10" s="21" t="str">
        <f>IF(G10="AGENTE",'Semana 1'!$L10+0.014,IF(G10="REDES",'Semana 1'!$L10+0.014,IF(G10="AGENTE RM",'Semana 1'!$L10+0.014,IF(G10="AGENTE APERTURA",'Semana 1'!$L10+0.014,IF(G10="AGENTE CIERRE",'Semana 1'!$L10+0.014," - ")))))</f>
        <v>9:00</v>
      </c>
      <c r="N10" s="21">
        <v>0.5972222222222222</v>
      </c>
      <c r="O10" s="21" t="str">
        <f>IF(G10="AGENTE",'Semana 1'!$N10+0.007,IF(G10="REDES",'Semana 1'!$N10+0.007,IF(G10="AGENTE RM",'Semana 1'!$N10+0.007,IF(G10="AGENTE APERTURA",'Semana 1'!$N10+0.007,IF(G10="AGENTE CIERRE",'Semana 1'!$N10+0.007," - ")))))</f>
        <v>14:30</v>
      </c>
      <c r="P10" s="22" t="str">
        <f t="shared" si="2"/>
        <v>8.0</v>
      </c>
      <c r="Q10" s="21">
        <v>0.3541666666666667</v>
      </c>
      <c r="R10" s="21" t="str">
        <f t="shared" si="10"/>
        <v>13:30</v>
      </c>
      <c r="S10" s="28"/>
      <c r="T10" s="28"/>
      <c r="U10" s="21">
        <v>0.375</v>
      </c>
      <c r="V10" s="21" t="str">
        <f t="shared" si="6"/>
        <v>9:30</v>
      </c>
      <c r="W10" s="28"/>
      <c r="X10" s="28"/>
      <c r="Y10" s="22" t="str">
        <f t="shared" si="7"/>
        <v>5.0</v>
      </c>
      <c r="Z10" s="22" t="str">
        <f t="shared" ref="Z10:AC10" si="11">$P10</f>
        <v>8.0</v>
      </c>
      <c r="AA10" s="22" t="str">
        <f t="shared" si="11"/>
        <v>8.0</v>
      </c>
      <c r="AB10" s="22" t="str">
        <f t="shared" si="11"/>
        <v>8.0</v>
      </c>
      <c r="AC10" s="22" t="str">
        <f t="shared" si="11"/>
        <v>8.0</v>
      </c>
      <c r="AD10" s="23" t="str">
        <f t="shared" si="4"/>
        <v>45</v>
      </c>
    </row>
    <row r="11">
      <c r="B11" s="18">
        <v>6.0</v>
      </c>
      <c r="C11" s="18" t="s">
        <v>38</v>
      </c>
      <c r="D11" s="19"/>
      <c r="E11" s="20" t="str">
        <f>Personal!G11</f>
        <v>Ani Rubi Lucero Gonzalez</v>
      </c>
      <c r="F11" s="20" t="s">
        <v>13</v>
      </c>
      <c r="G11" s="20" t="str">
        <f>Personal!H11</f>
        <v>SOPORTE</v>
      </c>
      <c r="H11" s="24"/>
      <c r="I11" s="24" t="str">
        <f t="shared" si="5"/>
        <v> </v>
      </c>
      <c r="J11" s="24"/>
      <c r="K11" s="24" t="str">
        <f>IF(G11="AGENTE",'Semana 1'!$J11+0.042,IF(G11="REDES",'Semana 1'!$J11+0.042,IF(G11="AGENTE RM",'Semana 1'!$J11+0.042,IF(G11="AGENTE APERTURA",'Semana 1'!$J11+0.021,IF(G11="AGENTE CIERRE",'Semana 1'!$J11+0.021," - ")))))</f>
        <v> - </v>
      </c>
      <c r="L11" s="24"/>
      <c r="M11" s="24" t="str">
        <f>IF(G11="AGENTE",'Semana 1'!$L11+0.014,IF(G11="REDES",'Semana 1'!$L11+0.014,IF(G11="AGENTE RM",'Semana 1'!$L11+0.014,IF(G11="AGENTE APERTURA",'Semana 1'!$L11+0.014,IF(G11="AGENTE CIERRE",'Semana 1'!$L11+0.014," - ")))))</f>
        <v> - </v>
      </c>
      <c r="N11" s="24"/>
      <c r="O11" s="24" t="str">
        <f>IF(G11="AGENTE",'Semana 1'!$N11+0.007,IF(G11="REDES",'Semana 1'!$N11+0.007,IF(G11="AGENTE RM",'Semana 1'!$N11+0.007,IF(G11="AGENTE APERTURA",'Semana 1'!$N11+0.007,IF(G11="AGENTE CIERRE",'Semana 1'!$N11+0.007," - ")))))</f>
        <v> - </v>
      </c>
      <c r="P11" s="25" t="str">
        <f t="shared" si="2"/>
        <v>-1.0</v>
      </c>
      <c r="Q11" s="24"/>
      <c r="R11" s="24" t="str">
        <f t="shared" si="10"/>
        <v/>
      </c>
      <c r="S11" s="26"/>
      <c r="T11" s="26"/>
      <c r="U11" s="24"/>
      <c r="V11" s="24" t="s">
        <v>40</v>
      </c>
      <c r="W11" s="26"/>
      <c r="X11" s="26"/>
      <c r="Y11" s="25" t="str">
        <f t="shared" si="7"/>
        <v>0.0</v>
      </c>
      <c r="Z11" s="25" t="str">
        <f t="shared" ref="Z11:AC11" si="12">$P11</f>
        <v>-1.0</v>
      </c>
      <c r="AA11" s="25" t="str">
        <f t="shared" si="12"/>
        <v>-1.0</v>
      </c>
      <c r="AB11" s="25" t="str">
        <f t="shared" si="12"/>
        <v>-1.0</v>
      </c>
      <c r="AC11" s="25" t="str">
        <f t="shared" si="12"/>
        <v>-1.0</v>
      </c>
      <c r="AD11" s="27" t="str">
        <f t="shared" si="4"/>
        <v>-5</v>
      </c>
    </row>
    <row r="12">
      <c r="B12" s="18">
        <v>7.0</v>
      </c>
      <c r="C12" s="18" t="s">
        <v>38</v>
      </c>
      <c r="D12" s="19"/>
      <c r="E12" s="20" t="str">
        <f>Personal!G12</f>
        <v>Hilda Sofia Gonzalez De León</v>
      </c>
      <c r="F12" s="20" t="s">
        <v>13</v>
      </c>
      <c r="G12" s="20" t="str">
        <f>Personal!H12</f>
        <v>REDES</v>
      </c>
      <c r="H12" s="21">
        <v>0.375</v>
      </c>
      <c r="I12" s="21" t="str">
        <f t="shared" si="5"/>
        <v>18:00</v>
      </c>
      <c r="J12" s="21">
        <v>0.5</v>
      </c>
      <c r="K12" s="21" t="str">
        <f>IF(G12="AGENTE",'Semana 1'!$J12+0.042,IF(G12="REDES",'Semana 1'!$J12+0.042,IF(G12="AGENTE RM",'Semana 1'!$J12+0.042,IF(G12="AGENTE APERTURA",'Semana 1'!$J12+0.021,IF(G12="AGENTE CIERRE",'Semana 1'!$J12+0.021," - ")))))</f>
        <v>13:00</v>
      </c>
      <c r="L12" s="21">
        <v>0.4305555555555556</v>
      </c>
      <c r="M12" s="21" t="str">
        <f>IF(G12="AGENTE",'Semana 1'!$L12+0.014,IF(G12="REDES",'Semana 1'!$L12+0.014,IF(G12="AGENTE RM",'Semana 1'!$L12+0.014,IF(G12="AGENTE APERTURA",'Semana 1'!$L12+0.014,IF(G12="AGENTE CIERRE",'Semana 1'!$L12+0.014," - ")))))</f>
        <v>10:40</v>
      </c>
      <c r="N12" s="21">
        <v>0.6527777777777778</v>
      </c>
      <c r="O12" s="21" t="str">
        <f>IF(G12="AGENTE",'Semana 1'!$N12+0.007,IF(G12="REDES",'Semana 1'!$N12+0.007,IF(G12="AGENTE RM",'Semana 1'!$N12+0.007,IF(G12="AGENTE APERTURA",'Semana 1'!$N12+0.007,IF(G12="AGENTE CIERRE",'Semana 1'!$N12+0.007," - ")))))</f>
        <v>15:50</v>
      </c>
      <c r="P12" s="22" t="str">
        <f t="shared" si="2"/>
        <v>8.0</v>
      </c>
      <c r="Q12" s="21">
        <v>0.375</v>
      </c>
      <c r="R12" s="21" t="str">
        <f t="shared" si="10"/>
        <v>14:00</v>
      </c>
      <c r="S12" s="28"/>
      <c r="T12" s="28"/>
      <c r="U12" s="21">
        <v>0.3958333333333333</v>
      </c>
      <c r="V12" s="21" t="str">
        <f t="shared" ref="V12:V13" si="14">IF(U12=0,"",U12+0.021)</f>
        <v>10:00</v>
      </c>
      <c r="W12" s="28"/>
      <c r="X12" s="28"/>
      <c r="Y12" s="22" t="str">
        <f t="shared" si="7"/>
        <v>5.0</v>
      </c>
      <c r="Z12" s="22" t="str">
        <f t="shared" ref="Z12:AC12" si="13">$P12</f>
        <v>8.0</v>
      </c>
      <c r="AA12" s="22" t="str">
        <f t="shared" si="13"/>
        <v>8.0</v>
      </c>
      <c r="AB12" s="22" t="str">
        <f t="shared" si="13"/>
        <v>8.0</v>
      </c>
      <c r="AC12" s="22" t="str">
        <f t="shared" si="13"/>
        <v>8.0</v>
      </c>
      <c r="AD12" s="23" t="str">
        <f t="shared" si="4"/>
        <v>45</v>
      </c>
    </row>
    <row r="13">
      <c r="B13" s="18">
        <v>8.0</v>
      </c>
      <c r="C13" s="18" t="s">
        <v>39</v>
      </c>
      <c r="D13" s="19"/>
      <c r="E13" s="20" t="str">
        <f>Personal!G13</f>
        <v>-</v>
      </c>
      <c r="F13" s="20" t="s">
        <v>13</v>
      </c>
      <c r="G13" s="20" t="str">
        <f>Personal!H13</f>
        <v>-</v>
      </c>
      <c r="H13" s="24"/>
      <c r="I13" s="24" t="str">
        <f t="shared" si="5"/>
        <v> </v>
      </c>
      <c r="J13" s="24"/>
      <c r="K13" s="24" t="str">
        <f>IF(G13="AGENTE",'Semana 1'!$J13+0.042,IF(G13="REDES",'Semana 1'!$J13+0.042,IF(G13="AGENTE RM",'Semana 1'!$J13+0.042,IF(G13="AGENTE APERTURA",'Semana 1'!$J13+0.021,IF(G13="AGENTE CIERRE",'Semana 1'!$J13+0.021," - ")))))</f>
        <v> - </v>
      </c>
      <c r="L13" s="24"/>
      <c r="M13" s="24" t="str">
        <f>IF(G13="AGENTE",'Semana 1'!$L13+0.014,IF(G13="REDES",'Semana 1'!$L13+0.014,IF(G13="AGENTE RM",'Semana 1'!$L13+0.014,IF(G13="AGENTE APERTURA",'Semana 1'!$L13+0.014,IF(G13="AGENTE CIERRE",'Semana 1'!$L13+0.014," - ")))))</f>
        <v> - </v>
      </c>
      <c r="N13" s="24"/>
      <c r="O13" s="24" t="str">
        <f>IF(G13="AGENTE",'Semana 1'!$N13+0.007,IF(G13="REDES",'Semana 1'!$N13+0.007,IF(G13="AGENTE RM",'Semana 1'!$N13+0.007,IF(G13="AGENTE APERTURA",'Semana 1'!$N13+0.007,IF(G13="AGENTE CIERRE",'Semana 1'!$N13+0.007," - ")))))</f>
        <v> - </v>
      </c>
      <c r="P13" s="25" t="str">
        <f t="shared" si="2"/>
        <v>-1.0</v>
      </c>
      <c r="Q13" s="24"/>
      <c r="R13" s="24" t="str">
        <f t="shared" si="10"/>
        <v/>
      </c>
      <c r="S13" s="26"/>
      <c r="T13" s="26"/>
      <c r="U13" s="24"/>
      <c r="V13" s="24" t="str">
        <f t="shared" si="14"/>
        <v/>
      </c>
      <c r="W13" s="26"/>
      <c r="X13" s="26"/>
      <c r="Y13" s="25" t="str">
        <f t="shared" si="7"/>
        <v>0.0</v>
      </c>
      <c r="Z13" s="25" t="str">
        <f t="shared" ref="Z13:AC13" si="15">$P13</f>
        <v>-1.0</v>
      </c>
      <c r="AA13" s="25" t="str">
        <f t="shared" si="15"/>
        <v>-1.0</v>
      </c>
      <c r="AB13" s="25" t="str">
        <f t="shared" si="15"/>
        <v>-1.0</v>
      </c>
      <c r="AC13" s="25" t="str">
        <f t="shared" si="15"/>
        <v>-1.0</v>
      </c>
      <c r="AD13" s="27" t="str">
        <f t="shared" si="4"/>
        <v>-5</v>
      </c>
    </row>
    <row r="14">
      <c r="B14" s="18">
        <v>9.0</v>
      </c>
      <c r="C14" s="18" t="s">
        <v>38</v>
      </c>
      <c r="D14" s="19"/>
      <c r="E14" s="20" t="str">
        <f>Personal!G14</f>
        <v>Jorge Israel Reyes Valencia</v>
      </c>
      <c r="F14" s="20" t="s">
        <v>13</v>
      </c>
      <c r="G14" s="20" t="str">
        <f>Personal!H14</f>
        <v>SOPORTE</v>
      </c>
      <c r="H14" s="21"/>
      <c r="I14" s="21" t="str">
        <f t="shared" si="5"/>
        <v> </v>
      </c>
      <c r="J14" s="21"/>
      <c r="K14" s="21" t="str">
        <f>IF(G14="AGENTE",'Semana 1'!$J14+0.042,IF(G14="REDES",'Semana 1'!$J14+0.042,IF(G14="AGENTE RM",'Semana 1'!$J14+0.042,IF(G14="AGENTE APERTURA",'Semana 1'!$J14+0.021,IF(G14="AGENTE CIERRE",'Semana 1'!$J14+0.021," - ")))))</f>
        <v> - </v>
      </c>
      <c r="L14" s="21"/>
      <c r="M14" s="21" t="str">
        <f>IF(G14="AGENTE",'Semana 1'!$L14+0.014,IF(G14="REDES",'Semana 1'!$L14+0.014,IF(G14="AGENTE RM",'Semana 1'!$L14+0.014,IF(G14="AGENTE APERTURA",'Semana 1'!$L14+0.014,IF(G14="AGENTE CIERRE",'Semana 1'!$L14+0.014," - ")))))</f>
        <v> - </v>
      </c>
      <c r="N14" s="21"/>
      <c r="O14" s="21" t="str">
        <f>IF(G14="AGENTE",'Semana 1'!$N14+0.007,IF(G14="REDES",'Semana 1'!$N14+0.007,IF(G14="AGENTE RM",'Semana 1'!$N14+0.007,IF(G14="AGENTE APERTURA",'Semana 1'!$N14+0.007,IF(G14="AGENTE CIERRE",'Semana 1'!$N14+0.007," - ")))))</f>
        <v> - </v>
      </c>
      <c r="P14" s="22" t="str">
        <f t="shared" si="2"/>
        <v>-1.0</v>
      </c>
      <c r="Q14" s="21"/>
      <c r="R14" s="21" t="str">
        <f t="shared" si="10"/>
        <v/>
      </c>
      <c r="S14" s="21"/>
      <c r="T14" s="21" t="str">
        <f>IF(S14=0,"",S14+0.021)</f>
        <v/>
      </c>
      <c r="U14" s="21"/>
      <c r="V14" s="21" t="str">
        <f>IF(U14=0,"",U14+0.01)</f>
        <v/>
      </c>
      <c r="W14" s="21"/>
      <c r="X14" s="21" t="str">
        <f>IF(W14=0,"",W14+0.01)</f>
        <v/>
      </c>
      <c r="Y14" s="22" t="str">
        <f t="shared" si="7"/>
        <v>0.0</v>
      </c>
      <c r="Z14" s="22" t="str">
        <f t="shared" ref="Z14:AC14" si="16">$P14</f>
        <v>-1.0</v>
      </c>
      <c r="AA14" s="22" t="str">
        <f t="shared" si="16"/>
        <v>-1.0</v>
      </c>
      <c r="AB14" s="22" t="str">
        <f t="shared" si="16"/>
        <v>-1.0</v>
      </c>
      <c r="AC14" s="22" t="str">
        <f t="shared" si="16"/>
        <v>-1.0</v>
      </c>
      <c r="AD14" s="23" t="str">
        <f t="shared" si="4"/>
        <v>-5</v>
      </c>
    </row>
    <row r="15">
      <c r="B15" s="18">
        <v>10.0</v>
      </c>
      <c r="C15" s="18" t="s">
        <v>38</v>
      </c>
      <c r="D15" s="19"/>
      <c r="E15" s="20" t="str">
        <f>Personal!G15</f>
        <v>Marcos Geovanny Coronado Giron</v>
      </c>
      <c r="F15" s="20" t="s">
        <v>13</v>
      </c>
      <c r="G15" s="20" t="str">
        <f>Personal!H15</f>
        <v>SOPORTE</v>
      </c>
      <c r="H15" s="24"/>
      <c r="I15" s="24" t="str">
        <f t="shared" si="5"/>
        <v> </v>
      </c>
      <c r="J15" s="24"/>
      <c r="K15" s="24" t="str">
        <f>IF(G15="AGENTE",'Semana 1'!$J15+0.042,IF(G15="REDES",'Semana 1'!$J15+0.042,IF(G15="AGENTE RM",'Semana 1'!$J15+0.042,IF(G15="AGENTE APERTURA",'Semana 1'!$J15+0.021,IF(G15="AGENTE CIERRE",'Semana 1'!$J15+0.021," - ")))))</f>
        <v> - </v>
      </c>
      <c r="L15" s="24"/>
      <c r="M15" s="24" t="str">
        <f>IF(G15="AGENTE",'Semana 1'!$L15+0.014,IF(G15="REDES",'Semana 1'!$L15+0.014,IF(G15="AGENTE RM",'Semana 1'!$L15+0.014,IF(G15="AGENTE APERTURA",'Semana 1'!$L15+0.014,IF(G15="AGENTE CIERRE",'Semana 1'!$L15+0.014," - ")))))</f>
        <v> - </v>
      </c>
      <c r="N15" s="24"/>
      <c r="O15" s="24" t="str">
        <f>IF(G15="AGENTE",'Semana 1'!$N15+0.007,IF(G15="REDES",'Semana 1'!$N15+0.007,IF(G15="AGENTE RM",'Semana 1'!$N15+0.007,IF(G15="AGENTE APERTURA",'Semana 1'!$N15+0.007,IF(G15="AGENTE CIERRE",'Semana 1'!$N15+0.007," - ")))))</f>
        <v> - </v>
      </c>
      <c r="P15" s="25" t="str">
        <f t="shared" si="2"/>
        <v>-1.0</v>
      </c>
      <c r="Q15" s="24"/>
      <c r="R15" s="24" t="str">
        <f t="shared" si="10"/>
        <v/>
      </c>
      <c r="S15" s="26"/>
      <c r="T15" s="26"/>
      <c r="U15" s="24"/>
      <c r="V15" s="24"/>
      <c r="W15" s="26"/>
      <c r="X15" s="26"/>
      <c r="Y15" s="25" t="str">
        <f t="shared" si="7"/>
        <v>0.0</v>
      </c>
      <c r="Z15" s="25" t="str">
        <f t="shared" ref="Z15:AC15" si="17">$P15</f>
        <v>-1.0</v>
      </c>
      <c r="AA15" s="25" t="str">
        <f t="shared" si="17"/>
        <v>-1.0</v>
      </c>
      <c r="AB15" s="25" t="str">
        <f t="shared" si="17"/>
        <v>-1.0</v>
      </c>
      <c r="AC15" s="25" t="str">
        <f t="shared" si="17"/>
        <v>-1.0</v>
      </c>
      <c r="AD15" s="27" t="str">
        <f t="shared" si="4"/>
        <v>-5</v>
      </c>
    </row>
    <row r="16">
      <c r="B16" s="18">
        <v>11.0</v>
      </c>
      <c r="C16" s="18" t="s">
        <v>38</v>
      </c>
      <c r="D16" s="19"/>
      <c r="E16" s="20" t="str">
        <f>Personal!G16</f>
        <v>Anyely Eunice Florian Florian</v>
      </c>
      <c r="F16" s="20" t="s">
        <v>13</v>
      </c>
      <c r="G16" s="20" t="str">
        <f>Personal!H16</f>
        <v>SOPORTE</v>
      </c>
      <c r="H16" s="21"/>
      <c r="I16" s="21" t="str">
        <f t="shared" si="5"/>
        <v> </v>
      </c>
      <c r="J16" s="21"/>
      <c r="K16" s="21" t="str">
        <f>IF(G16="AGENTE",'Semana 1'!$J16+0.042,IF(G16="REDES",'Semana 1'!$J16+0.042,IF(G16="AGENTE RM",'Semana 1'!$J16+0.042,IF(G16="AGENTE APERTURA",'Semana 1'!$J16+0.021,IF(G16="AGENTE CIERRE",'Semana 1'!$J16+0.021," - ")))))</f>
        <v> - </v>
      </c>
      <c r="L16" s="21"/>
      <c r="M16" s="21" t="str">
        <f>IF(G16="AGENTE",'Semana 1'!$L16+0.014,IF(G16="REDES",'Semana 1'!$L16+0.014,IF(G16="AGENTE RM",'Semana 1'!$L16+0.014,IF(G16="AGENTE APERTURA",'Semana 1'!$L16+0.014,IF(G16="AGENTE CIERRE",'Semana 1'!$L16+0.014," - ")))))</f>
        <v> - </v>
      </c>
      <c r="N16" s="21"/>
      <c r="O16" s="21" t="str">
        <f>IF(G16="AGENTE",'Semana 1'!$N16+0.007,IF(G16="REDES",'Semana 1'!$N16+0.007,IF(G16="AGENTE RM",'Semana 1'!$N16+0.007,IF(G16="AGENTE APERTURA",'Semana 1'!$N16+0.007,IF(G16="AGENTE CIERRE",'Semana 1'!$N16+0.007," - ")))))</f>
        <v> - </v>
      </c>
      <c r="P16" s="22" t="str">
        <f t="shared" si="2"/>
        <v>-1.0</v>
      </c>
      <c r="Q16" s="21"/>
      <c r="R16" s="21" t="str">
        <f t="shared" si="10"/>
        <v/>
      </c>
      <c r="S16" s="28"/>
      <c r="T16" s="28"/>
      <c r="U16" s="21"/>
      <c r="V16" s="21" t="str">
        <f t="shared" ref="V16:V18" si="19">IF(U16=0,"",U16+0.021)</f>
        <v/>
      </c>
      <c r="W16" s="28"/>
      <c r="X16" s="28" t="str">
        <f>IF(W16=0,"",W16+0.021)</f>
        <v/>
      </c>
      <c r="Y16" s="22" t="str">
        <f t="shared" si="7"/>
        <v>0.0</v>
      </c>
      <c r="Z16" s="22" t="str">
        <f t="shared" ref="Z16:AC16" si="18">$P16</f>
        <v>-1.0</v>
      </c>
      <c r="AA16" s="22" t="str">
        <f t="shared" si="18"/>
        <v>-1.0</v>
      </c>
      <c r="AB16" s="22" t="str">
        <f t="shared" si="18"/>
        <v>-1.0</v>
      </c>
      <c r="AC16" s="22" t="str">
        <f t="shared" si="18"/>
        <v>-1.0</v>
      </c>
      <c r="AD16" s="23" t="str">
        <f t="shared" si="4"/>
        <v>-5</v>
      </c>
    </row>
    <row r="17">
      <c r="B17" s="18">
        <v>12.0</v>
      </c>
      <c r="C17" s="18" t="s">
        <v>38</v>
      </c>
      <c r="D17" s="19"/>
      <c r="E17" s="20" t="str">
        <f>Personal!G17</f>
        <v>Jennifer Alicia Boror Rodriguez</v>
      </c>
      <c r="F17" s="20" t="s">
        <v>13</v>
      </c>
      <c r="G17" s="20" t="str">
        <f>Personal!H17</f>
        <v>REDES</v>
      </c>
      <c r="H17" s="24">
        <v>0.2708333333333333</v>
      </c>
      <c r="I17" s="24" t="str">
        <f t="shared" si="5"/>
        <v>15:30</v>
      </c>
      <c r="J17" s="24">
        <v>0.5416666666666666</v>
      </c>
      <c r="K17" s="24" t="str">
        <f>IF(G17="AGENTE",'Semana 1'!$J17+0.042,IF(G17="REDES",'Semana 1'!$J17+0.042,IF(G17="AGENTE RM",'Semana 1'!$J17+0.042,IF(G17="AGENTE APERTURA",'Semana 1'!$J17+0.021,IF(G17="AGENTE CIERRE",'Semana 1'!$J17+0.021," - ")))))</f>
        <v>14:00</v>
      </c>
      <c r="L17" s="24">
        <v>0.34722222222222227</v>
      </c>
      <c r="M17" s="24" t="str">
        <f>IF(G17="AGENTE",'Semana 1'!$L17+0.014,IF(G17="REDES",'Semana 1'!$L17+0.014,IF(G17="AGENTE RM",'Semana 1'!$L17+0.014,IF(G17="AGENTE APERTURA",'Semana 1'!$L17+0.014,IF(G17="AGENTE CIERRE",'Semana 1'!$L17+0.014," - ")))))</f>
        <v>8:40</v>
      </c>
      <c r="N17" s="24">
        <v>0.5902777777777778</v>
      </c>
      <c r="O17" s="24" t="str">
        <f>IF(G17="AGENTE",'Semana 1'!$N17+0.007,IF(G17="REDES",'Semana 1'!$N17+0.007,IF(G17="AGENTE RM",'Semana 1'!$N17+0.007,IF(G17="AGENTE APERTURA",'Semana 1'!$N17+0.007,IF(G17="AGENTE CIERRE",'Semana 1'!$N17+0.007," - ")))))</f>
        <v>14:20</v>
      </c>
      <c r="P17" s="25" t="str">
        <f t="shared" si="2"/>
        <v>8.0</v>
      </c>
      <c r="Q17" s="24">
        <v>0.2708333333333333</v>
      </c>
      <c r="R17" s="24" t="str">
        <f t="shared" si="10"/>
        <v>11:30</v>
      </c>
      <c r="S17" s="26"/>
      <c r="T17" s="26"/>
      <c r="U17" s="24">
        <v>0.3125</v>
      </c>
      <c r="V17" s="24" t="str">
        <f t="shared" si="19"/>
        <v>8:00</v>
      </c>
      <c r="W17" s="26"/>
      <c r="X17" s="26"/>
      <c r="Y17" s="25" t="str">
        <f t="shared" si="7"/>
        <v>5.0</v>
      </c>
      <c r="Z17" s="25" t="str">
        <f t="shared" ref="Z17:AC17" si="20">$P17</f>
        <v>8.0</v>
      </c>
      <c r="AA17" s="25" t="str">
        <f t="shared" si="20"/>
        <v>8.0</v>
      </c>
      <c r="AB17" s="25" t="str">
        <f t="shared" si="20"/>
        <v>8.0</v>
      </c>
      <c r="AC17" s="25" t="str">
        <f t="shared" si="20"/>
        <v>8.0</v>
      </c>
      <c r="AD17" s="27" t="str">
        <f t="shared" si="4"/>
        <v>45</v>
      </c>
    </row>
    <row r="18">
      <c r="B18" s="18">
        <v>13.0</v>
      </c>
      <c r="C18" s="18" t="s">
        <v>39</v>
      </c>
      <c r="D18" s="19"/>
      <c r="E18" s="20" t="str">
        <f>Personal!G18</f>
        <v>-</v>
      </c>
      <c r="F18" s="20" t="s">
        <v>13</v>
      </c>
      <c r="G18" s="20" t="str">
        <f>Personal!H18</f>
        <v>-</v>
      </c>
      <c r="H18" s="21"/>
      <c r="I18" s="21" t="str">
        <f t="shared" si="5"/>
        <v> </v>
      </c>
      <c r="J18" s="21"/>
      <c r="K18" s="21" t="str">
        <f>IF(G18="AGENTE",'Semana 1'!$J18+0.042,IF(G18="REDES",'Semana 1'!$J18+0.042,IF(G18="AGENTE RM",'Semana 1'!$J18+0.042,IF(G18="AGENTE APERTURA",'Semana 1'!$J18+0.021,IF(G18="AGENTE CIERRE",'Semana 1'!$J18+0.021," - ")))))</f>
        <v> - </v>
      </c>
      <c r="L18" s="21"/>
      <c r="M18" s="21" t="str">
        <f>IF(G18="AGENTE",'Semana 1'!$L18+0.014,IF(G18="REDES",'Semana 1'!$L18+0.014,IF(G18="AGENTE RM",'Semana 1'!$L18+0.014,IF(G18="AGENTE APERTURA",'Semana 1'!$L18+0.014,IF(G18="AGENTE CIERRE",'Semana 1'!$L18+0.014," - ")))))</f>
        <v> - </v>
      </c>
      <c r="N18" s="21"/>
      <c r="O18" s="21" t="str">
        <f>IF(G18="AGENTE",'Semana 1'!$N18+0.007,IF(G18="REDES",'Semana 1'!$N18+0.007,IF(G18="AGENTE RM",'Semana 1'!$N18+0.007,IF(G18="AGENTE APERTURA",'Semana 1'!$N18+0.007,IF(G18="AGENTE CIERRE",'Semana 1'!$N18+0.007," - ")))))</f>
        <v> - </v>
      </c>
      <c r="P18" s="22" t="str">
        <f t="shared" si="2"/>
        <v>-1.0</v>
      </c>
      <c r="Q18" s="21"/>
      <c r="R18" s="21" t="str">
        <f t="shared" si="10"/>
        <v/>
      </c>
      <c r="S18" s="21"/>
      <c r="T18" s="21"/>
      <c r="U18" s="21"/>
      <c r="V18" s="21" t="str">
        <f t="shared" si="19"/>
        <v/>
      </c>
      <c r="W18" s="21"/>
      <c r="X18" s="21"/>
      <c r="Y18" s="22" t="str">
        <f t="shared" si="7"/>
        <v>0.0</v>
      </c>
      <c r="Z18" s="22" t="str">
        <f t="shared" ref="Z18:AC18" si="21">$P18</f>
        <v>-1.0</v>
      </c>
      <c r="AA18" s="22" t="str">
        <f t="shared" si="21"/>
        <v>-1.0</v>
      </c>
      <c r="AB18" s="22" t="str">
        <f t="shared" si="21"/>
        <v>-1.0</v>
      </c>
      <c r="AC18" s="22" t="str">
        <f t="shared" si="21"/>
        <v>-1.0</v>
      </c>
      <c r="AD18" s="23" t="str">
        <f t="shared" si="4"/>
        <v>-5</v>
      </c>
    </row>
    <row r="19">
      <c r="B19" s="18">
        <v>14.0</v>
      </c>
      <c r="C19" s="18" t="s">
        <v>38</v>
      </c>
      <c r="D19" s="19"/>
      <c r="E19" s="20" t="str">
        <f>Personal!G19</f>
        <v>Juan José Puluc Chaicoj</v>
      </c>
      <c r="F19" s="20" t="s">
        <v>13</v>
      </c>
      <c r="G19" s="20" t="str">
        <f>Personal!H19</f>
        <v>SOPORTE</v>
      </c>
      <c r="H19" s="24"/>
      <c r="I19" s="24" t="str">
        <f t="shared" si="5"/>
        <v> </v>
      </c>
      <c r="J19" s="24"/>
      <c r="K19" s="24" t="str">
        <f>IF(G19="AGENTE",'Semana 1'!$J19+0.042,IF(G19="REDES",'Semana 1'!$J19+0.042,IF(G19="AGENTE RM",'Semana 1'!$J19+0.042,IF(G19="AGENTE APERTURA",'Semana 1'!$J19+0.021,IF(G19="AGENTE CIERRE",'Semana 1'!$J19+0.021," - ")))))</f>
        <v> - </v>
      </c>
      <c r="L19" s="24"/>
      <c r="M19" s="24" t="str">
        <f>IF(G19="AGENTE",'Semana 1'!$L19+0.014,IF(G19="REDES",'Semana 1'!$L19+0.014,IF(G19="AGENTE RM",'Semana 1'!$L19+0.014,IF(G19="AGENTE APERTURA",'Semana 1'!$L19+0.014,IF(G19="AGENTE CIERRE",'Semana 1'!$L19+0.014," - ")))))</f>
        <v> - </v>
      </c>
      <c r="N19" s="24"/>
      <c r="O19" s="24" t="str">
        <f>IF(G19="AGENTE",'Semana 1'!$N19+0.007,IF(G19="REDES",'Semana 1'!$N19+0.007,IF(G19="AGENTE RM",'Semana 1'!$N19+0.007,IF(G19="AGENTE APERTURA",'Semana 1'!$N19+0.007,IF(G19="AGENTE CIERRE",'Semana 1'!$N19+0.007," - ")))))</f>
        <v> - </v>
      </c>
      <c r="P19" s="25" t="str">
        <f t="shared" si="2"/>
        <v>-1.0</v>
      </c>
      <c r="Q19" s="24"/>
      <c r="R19" s="24" t="str">
        <f t="shared" si="10"/>
        <v/>
      </c>
      <c r="S19" s="26"/>
      <c r="T19" s="26"/>
      <c r="U19" s="24"/>
      <c r="V19" s="24"/>
      <c r="W19" s="26"/>
      <c r="X19" s="26"/>
      <c r="Y19" s="25" t="str">
        <f t="shared" si="7"/>
        <v>0.0</v>
      </c>
      <c r="Z19" s="25" t="str">
        <f t="shared" ref="Z19:AC19" si="22">$P19</f>
        <v>-1.0</v>
      </c>
      <c r="AA19" s="25" t="str">
        <f t="shared" si="22"/>
        <v>-1.0</v>
      </c>
      <c r="AB19" s="25" t="str">
        <f t="shared" si="22"/>
        <v>-1.0</v>
      </c>
      <c r="AC19" s="25" t="str">
        <f t="shared" si="22"/>
        <v>-1.0</v>
      </c>
      <c r="AD19" s="27" t="str">
        <f t="shared" si="4"/>
        <v>-5</v>
      </c>
    </row>
    <row r="20">
      <c r="B20" s="18">
        <v>15.0</v>
      </c>
      <c r="C20" s="18" t="s">
        <v>38</v>
      </c>
      <c r="D20" s="19"/>
      <c r="E20" s="20" t="str">
        <f>Personal!G20</f>
        <v>Lydicen Anabelly Navarijo Padilla</v>
      </c>
      <c r="F20" s="20" t="s">
        <v>13</v>
      </c>
      <c r="G20" s="20" t="str">
        <f>Personal!H20</f>
        <v>AGENTE RM</v>
      </c>
      <c r="H20" s="21">
        <v>0.375</v>
      </c>
      <c r="I20" s="21" t="str">
        <f t="shared" si="5"/>
        <v>18:00</v>
      </c>
      <c r="J20" s="21">
        <v>0.5833333333333334</v>
      </c>
      <c r="K20" s="21" t="str">
        <f>IF(G20="AGENTE",'Semana 1'!$J20+0.042,IF(G20="REDES",'Semana 1'!$J20+0.042,IF(G20="AGENTE RM",'Semana 1'!$J20+0.042,IF(G20="AGENTE APERTURA",'Semana 1'!$J20+0.021,IF(G20="AGENTE CIERRE",'Semana 1'!$J20+0.021," - ")))))</f>
        <v>15:00</v>
      </c>
      <c r="L20" s="21">
        <v>0.3958333333333333</v>
      </c>
      <c r="M20" s="21" t="str">
        <f>IF(G20="AGENTE",'Semana 1'!$L20+0.014,IF(G20="REDES",'Semana 1'!$L20+0.014,IF(G20="AGENTE RM",'Semana 1'!$L20+0.014,IF(G20="AGENTE APERTURA",'Semana 1'!$L20+0.014,IF(G20="AGENTE CIERRE",'Semana 1'!$L20+0.014," - ")))))</f>
        <v>9:50</v>
      </c>
      <c r="N20" s="21">
        <v>0.6666666666666666</v>
      </c>
      <c r="O20" s="21" t="str">
        <f>IF(G20="AGENTE",'Semana 1'!$N20+0.007,IF(G20="REDES",'Semana 1'!$N20+0.007,IF(G20="AGENTE RM",'Semana 1'!$N20+0.007,IF(G20="AGENTE APERTURA",'Semana 1'!$N20+0.007,IF(G20="AGENTE CIERRE",'Semana 1'!$N20+0.007," - ")))))</f>
        <v>16:10</v>
      </c>
      <c r="P20" s="22" t="str">
        <f t="shared" si="2"/>
        <v>8.0</v>
      </c>
      <c r="Q20" s="21">
        <v>0.4166666666666667</v>
      </c>
      <c r="R20" s="21" t="str">
        <f t="shared" si="10"/>
        <v>15:00</v>
      </c>
      <c r="S20" s="28"/>
      <c r="T20" s="28"/>
      <c r="U20" s="21">
        <v>0.4375</v>
      </c>
      <c r="V20" s="21" t="str">
        <f t="shared" ref="V20:V25" si="24">IF(U20=0,"",U20+0.021)</f>
        <v>11:00</v>
      </c>
      <c r="W20" s="28"/>
      <c r="X20" s="28"/>
      <c r="Y20" s="22" t="str">
        <f t="shared" si="7"/>
        <v>5.0</v>
      </c>
      <c r="Z20" s="22" t="str">
        <f t="shared" ref="Z20:AC20" si="23">$P20</f>
        <v>8.0</v>
      </c>
      <c r="AA20" s="22" t="str">
        <f t="shared" si="23"/>
        <v>8.0</v>
      </c>
      <c r="AB20" s="22" t="str">
        <f t="shared" si="23"/>
        <v>8.0</v>
      </c>
      <c r="AC20" s="22" t="str">
        <f t="shared" si="23"/>
        <v>8.0</v>
      </c>
      <c r="AD20" s="23" t="str">
        <f t="shared" si="4"/>
        <v>45</v>
      </c>
    </row>
    <row r="21" ht="15.75" customHeight="1">
      <c r="B21" s="18">
        <v>16.0</v>
      </c>
      <c r="C21" s="18" t="s">
        <v>38</v>
      </c>
      <c r="D21" s="19"/>
      <c r="E21" s="20" t="str">
        <f>Personal!G21</f>
        <v>Cindy Melissa Aroche Ortiz</v>
      </c>
      <c r="F21" s="20" t="s">
        <v>13</v>
      </c>
      <c r="G21" s="20" t="str">
        <f>Personal!H21</f>
        <v>CONTROL</v>
      </c>
      <c r="H21" s="24"/>
      <c r="I21" s="24" t="str">
        <f t="shared" si="5"/>
        <v> </v>
      </c>
      <c r="J21" s="24"/>
      <c r="K21" s="24" t="str">
        <f>IF(G21="AGENTE",'Semana 1'!$J21+0.042,IF(G21="REDES",'Semana 1'!$J21+0.042,IF(G21="AGENTE RM",'Semana 1'!$J21+0.042,IF(G21="AGENTE APERTURA",'Semana 1'!$J21+0.021,IF(G21="AGENTE CIERRE",'Semana 1'!$J21+0.021," - ")))))</f>
        <v> - </v>
      </c>
      <c r="L21" s="24"/>
      <c r="M21" s="24" t="str">
        <f>IF(G21="AGENTE",'Semana 1'!$L21+0.014,IF(G21="REDES",'Semana 1'!$L21+0.014,IF(G21="AGENTE RM",'Semana 1'!$L21+0.014,IF(G21="AGENTE APERTURA",'Semana 1'!$L21+0.014,IF(G21="AGENTE CIERRE",'Semana 1'!$L21+0.014," - ")))))</f>
        <v> - </v>
      </c>
      <c r="N21" s="24"/>
      <c r="O21" s="24" t="str">
        <f>IF(G21="AGENTE",'Semana 1'!$N21+0.007,IF(G21="REDES",'Semana 1'!$N21+0.007,IF(G21="AGENTE RM",'Semana 1'!$N21+0.007,IF(G21="AGENTE APERTURA",'Semana 1'!$N21+0.007,IF(G21="AGENTE CIERRE",'Semana 1'!$N21+0.007," - ")))))</f>
        <v> - </v>
      </c>
      <c r="P21" s="25" t="str">
        <f t="shared" si="2"/>
        <v>-1.0</v>
      </c>
      <c r="Q21" s="24"/>
      <c r="R21" s="24" t="str">
        <f t="shared" si="10"/>
        <v/>
      </c>
      <c r="S21" s="26"/>
      <c r="T21" s="26"/>
      <c r="U21" s="24"/>
      <c r="V21" s="24" t="str">
        <f t="shared" si="24"/>
        <v/>
      </c>
      <c r="W21" s="26"/>
      <c r="X21" s="26"/>
      <c r="Y21" s="25" t="str">
        <f t="shared" si="7"/>
        <v>0.0</v>
      </c>
      <c r="Z21" s="25" t="str">
        <f t="shared" ref="Z21:AC21" si="25">$P21</f>
        <v>-1.0</v>
      </c>
      <c r="AA21" s="25" t="str">
        <f t="shared" si="25"/>
        <v>-1.0</v>
      </c>
      <c r="AB21" s="25" t="str">
        <f t="shared" si="25"/>
        <v>-1.0</v>
      </c>
      <c r="AC21" s="25" t="str">
        <f t="shared" si="25"/>
        <v>-1.0</v>
      </c>
      <c r="AD21" s="27" t="str">
        <f t="shared" si="4"/>
        <v>-5</v>
      </c>
    </row>
    <row r="22" ht="15.75" customHeight="1">
      <c r="B22" s="18">
        <v>17.0</v>
      </c>
      <c r="C22" s="18" t="s">
        <v>38</v>
      </c>
      <c r="D22" s="19"/>
      <c r="E22" s="20" t="str">
        <f>Personal!G22</f>
        <v>Katherin Gabriela Monzon Vivar</v>
      </c>
      <c r="F22" s="20" t="s">
        <v>13</v>
      </c>
      <c r="G22" s="20" t="str">
        <f>Personal!H22</f>
        <v>AGENTE</v>
      </c>
      <c r="H22" s="21">
        <v>0.3333333333333333</v>
      </c>
      <c r="I22" s="21" t="str">
        <f t="shared" si="5"/>
        <v>17:00</v>
      </c>
      <c r="J22" s="21">
        <v>0.5625</v>
      </c>
      <c r="K22" s="21" t="str">
        <f>IF(G22="AGENTE",'Semana 1'!$J22+0.042,IF(G22="REDES",'Semana 1'!$J22+0.042,IF(G22="AGENTE RM",'Semana 1'!$J22+0.042,IF(G22="AGENTE APERTURA",'Semana 1'!$J22+0.021,IF(G22="AGENTE CIERRE",'Semana 1'!$J22+0.021," - ")))))</f>
        <v>14:30</v>
      </c>
      <c r="L22" s="21">
        <v>0.3854166666666667</v>
      </c>
      <c r="M22" s="21" t="str">
        <f>IF(G22="AGENTE",'Semana 1'!$L22+0.014,IF(G22="REDES",'Semana 1'!$L22+0.014,IF(G22="AGENTE RM",'Semana 1'!$L22+0.014,IF(G22="AGENTE APERTURA",'Semana 1'!$L22+0.014,IF(G22="AGENTE CIERRE",'Semana 1'!$L22+0.014," - ")))))</f>
        <v>9:35</v>
      </c>
      <c r="N22" s="21">
        <v>0.6979166666666666</v>
      </c>
      <c r="O22" s="21" t="str">
        <f>IF(G22="AGENTE",'Semana 1'!$N22+0.007,IF(G22="REDES",'Semana 1'!$N22+0.007,IF(G22="AGENTE RM",'Semana 1'!$N22+0.007,IF(G22="AGENTE APERTURA",'Semana 1'!$N22+0.007,IF(G22="AGENTE CIERRE",'Semana 1'!$N22+0.007," - ")))))</f>
        <v>16:55</v>
      </c>
      <c r="P22" s="22" t="str">
        <f t="shared" si="2"/>
        <v>8.0</v>
      </c>
      <c r="Q22" s="21">
        <v>0.3333333333333333</v>
      </c>
      <c r="R22" s="21" t="str">
        <f t="shared" si="10"/>
        <v>13:00</v>
      </c>
      <c r="S22" s="28"/>
      <c r="T22" s="28"/>
      <c r="U22" s="21">
        <v>0.3541666666666667</v>
      </c>
      <c r="V22" s="21" t="str">
        <f t="shared" si="24"/>
        <v>9:00</v>
      </c>
      <c r="W22" s="28"/>
      <c r="X22" s="28"/>
      <c r="Y22" s="22" t="str">
        <f t="shared" si="7"/>
        <v>5.0</v>
      </c>
      <c r="Z22" s="22" t="str">
        <f t="shared" ref="Z22:AC22" si="26">$P22</f>
        <v>8.0</v>
      </c>
      <c r="AA22" s="22" t="str">
        <f t="shared" si="26"/>
        <v>8.0</v>
      </c>
      <c r="AB22" s="22" t="str">
        <f t="shared" si="26"/>
        <v>8.0</v>
      </c>
      <c r="AC22" s="22" t="str">
        <f t="shared" si="26"/>
        <v>8.0</v>
      </c>
      <c r="AD22" s="23" t="str">
        <f t="shared" si="4"/>
        <v>45</v>
      </c>
    </row>
    <row r="23" ht="15.75" customHeight="1">
      <c r="A23" s="50"/>
      <c r="B23" s="18">
        <v>18.0</v>
      </c>
      <c r="C23" s="18" t="s">
        <v>38</v>
      </c>
      <c r="D23" s="19"/>
      <c r="E23" s="20" t="str">
        <f>Personal!G23</f>
        <v>Velvet Esmeralda Quiroz Godinez</v>
      </c>
      <c r="F23" s="20" t="s">
        <v>13</v>
      </c>
      <c r="G23" s="20" t="str">
        <f>Personal!H23</f>
        <v>AGENTE RM</v>
      </c>
      <c r="H23" s="24">
        <v>0.3125</v>
      </c>
      <c r="I23" s="24" t="str">
        <f t="shared" si="5"/>
        <v>16:30</v>
      </c>
      <c r="J23" s="24">
        <v>0.5416666666666666</v>
      </c>
      <c r="K23" s="24" t="str">
        <f>IF(G23="AGENTE",'Semana 1'!$J23+0.042,IF(G23="REDES",'Semana 1'!$J23+0.042,IF(G23="AGENTE RM",'Semana 1'!$J23+0.042,IF(G23="AGENTE APERTURA",'Semana 1'!$J23+0.021,IF(G23="AGENTE CIERRE",'Semana 1'!$J23+0.021," - ")))))</f>
        <v>14:00</v>
      </c>
      <c r="L23" s="24">
        <v>0.34722222222222227</v>
      </c>
      <c r="M23" s="24" t="str">
        <f>IF(G23="AGENTE",'Semana 1'!$L23+0.014,IF(G23="REDES",'Semana 1'!$L23+0.014,IF(G23="AGENTE RM",'Semana 1'!$L23+0.014,IF(G23="AGENTE APERTURA",'Semana 1'!$L23+0.014,IF(G23="AGENTE CIERRE",'Semana 1'!$L23+0.014," - ")))))</f>
        <v>8:40</v>
      </c>
      <c r="N23" s="24">
        <v>0.6041666666666666</v>
      </c>
      <c r="O23" s="24" t="str">
        <f>IF(G23="AGENTE",'Semana 1'!$N23+0.007,IF(G23="REDES",'Semana 1'!$N23+0.007,IF(G23="AGENTE RM",'Semana 1'!$N23+0.007,IF(G23="AGENTE APERTURA",'Semana 1'!$N23+0.007,IF(G23="AGENTE CIERRE",'Semana 1'!$N23+0.007," - ")))))</f>
        <v>14:40</v>
      </c>
      <c r="P23" s="25" t="str">
        <f t="shared" si="2"/>
        <v>8.0</v>
      </c>
      <c r="Q23" s="24">
        <v>0.375</v>
      </c>
      <c r="R23" s="24" t="str">
        <f t="shared" si="10"/>
        <v>14:00</v>
      </c>
      <c r="S23" s="26"/>
      <c r="T23" s="26" t="str">
        <f>IF(S23=0,"",S23+0.041)</f>
        <v/>
      </c>
      <c r="U23" s="24">
        <v>0.4166666666666667</v>
      </c>
      <c r="V23" s="24" t="str">
        <f t="shared" si="24"/>
        <v>10:30</v>
      </c>
      <c r="W23" s="26"/>
      <c r="X23" s="26" t="str">
        <f>IF(W23=0,"",W23+0.01)</f>
        <v/>
      </c>
      <c r="Y23" s="25" t="str">
        <f t="shared" si="7"/>
        <v>5.0</v>
      </c>
      <c r="Z23" s="25" t="str">
        <f t="shared" ref="Z23:AC23" si="27">$P23</f>
        <v>8.0</v>
      </c>
      <c r="AA23" s="25" t="str">
        <f t="shared" si="27"/>
        <v>8.0</v>
      </c>
      <c r="AB23" s="25" t="str">
        <f t="shared" si="27"/>
        <v>8.0</v>
      </c>
      <c r="AC23" s="25" t="str">
        <f t="shared" si="27"/>
        <v>8.0</v>
      </c>
      <c r="AD23" s="27" t="str">
        <f t="shared" si="4"/>
        <v>45</v>
      </c>
    </row>
    <row r="24" ht="15.75" customHeight="1">
      <c r="B24" s="18">
        <v>19.0</v>
      </c>
      <c r="C24" s="18" t="s">
        <v>38</v>
      </c>
      <c r="D24" s="19"/>
      <c r="E24" s="20" t="str">
        <f>Personal!G24</f>
        <v>Marcela Alessandra López Melgar</v>
      </c>
      <c r="F24" s="20" t="s">
        <v>13</v>
      </c>
      <c r="G24" s="20" t="str">
        <f>Personal!H24</f>
        <v>REDES</v>
      </c>
      <c r="H24" s="21">
        <v>0.2708333333333333</v>
      </c>
      <c r="I24" s="21" t="str">
        <f t="shared" si="5"/>
        <v>15:30</v>
      </c>
      <c r="J24" s="21">
        <v>0.5416666666666666</v>
      </c>
      <c r="K24" s="21" t="str">
        <f>IF(G24="AGENTE",'Semana 1'!$J24+0.042,IF(G24="REDES",'Semana 1'!$J24+0.042,IF(G24="AGENTE RM",'Semana 1'!$J24+0.042,IF(G24="AGENTE APERTURA",'Semana 1'!$J24+0.021,IF(G24="AGENTE CIERRE",'Semana 1'!$J24+0.021," - ")))))</f>
        <v>14:00</v>
      </c>
      <c r="L24" s="21">
        <v>0.3333333333333333</v>
      </c>
      <c r="M24" s="21" t="str">
        <f>IF(G24="AGENTE",'Semana 1'!$L24+0.014,IF(G24="REDES",'Semana 1'!$L24+0.014,IF(G24="AGENTE RM",'Semana 1'!$L24+0.014,IF(G24="AGENTE APERTURA",'Semana 1'!$L24+0.014,IF(G24="AGENTE CIERRE",'Semana 1'!$L24+0.014," - ")))))</f>
        <v>8:20</v>
      </c>
      <c r="N24" s="21">
        <v>0.5833333333333334</v>
      </c>
      <c r="O24" s="21" t="str">
        <f>IF(G24="AGENTE",'Semana 1'!$N24+0.007,IF(G24="REDES",'Semana 1'!$N24+0.007,IF(G24="AGENTE RM",'Semana 1'!$N24+0.007,IF(G24="AGENTE APERTURA",'Semana 1'!$N24+0.007,IF(G24="AGENTE CIERRE",'Semana 1'!$N24+0.007," - ")))))</f>
        <v>14:10</v>
      </c>
      <c r="P24" s="22" t="str">
        <f t="shared" si="2"/>
        <v>8.0</v>
      </c>
      <c r="Q24" s="21">
        <v>0.2708333333333333</v>
      </c>
      <c r="R24" s="21" t="str">
        <f t="shared" si="10"/>
        <v>11:30</v>
      </c>
      <c r="S24" s="21"/>
      <c r="T24" s="21"/>
      <c r="U24" s="21">
        <v>0.3125</v>
      </c>
      <c r="V24" s="21" t="str">
        <f t="shared" si="24"/>
        <v>8:00</v>
      </c>
      <c r="W24" s="21"/>
      <c r="X24" s="21"/>
      <c r="Y24" s="22" t="str">
        <f t="shared" si="7"/>
        <v>5.0</v>
      </c>
      <c r="Z24" s="22" t="str">
        <f t="shared" ref="Z24:AC24" si="28">$P24</f>
        <v>8.0</v>
      </c>
      <c r="AA24" s="22" t="str">
        <f t="shared" si="28"/>
        <v>8.0</v>
      </c>
      <c r="AB24" s="22" t="str">
        <f t="shared" si="28"/>
        <v>8.0</v>
      </c>
      <c r="AC24" s="22" t="str">
        <f t="shared" si="28"/>
        <v>8.0</v>
      </c>
      <c r="AD24" s="23" t="str">
        <f t="shared" si="4"/>
        <v>45</v>
      </c>
    </row>
    <row r="25" ht="15.75" customHeight="1">
      <c r="B25" s="18">
        <v>20.0</v>
      </c>
      <c r="C25" s="18" t="s">
        <v>38</v>
      </c>
      <c r="D25" s="19"/>
      <c r="E25" s="20" t="str">
        <f>Personal!G25</f>
        <v>Ana Marilú González de la Cruz</v>
      </c>
      <c r="F25" s="20" t="s">
        <v>13</v>
      </c>
      <c r="G25" s="20" t="str">
        <f>Personal!H25</f>
        <v>SOPORTE</v>
      </c>
      <c r="H25" s="24"/>
      <c r="I25" s="24" t="str">
        <f t="shared" si="5"/>
        <v> </v>
      </c>
      <c r="J25" s="24"/>
      <c r="K25" s="24" t="str">
        <f>IF(G25="AGENTE",'Semana 1'!$J25+0.042,IF(G25="REDES",'Semana 1'!$J25+0.042,IF(G25="AGENTE RM",'Semana 1'!$J25+0.042,IF(G25="AGENTE APERTURA",'Semana 1'!$J25+0.021,IF(G25="AGENTE CIERRE",'Semana 1'!$J25+0.021," - ")))))</f>
        <v> - </v>
      </c>
      <c r="L25" s="24"/>
      <c r="M25" s="24" t="str">
        <f>IF(G25="AGENTE",'Semana 1'!$L25+0.014,IF(G25="REDES",'Semana 1'!$L25+0.014,IF(G25="AGENTE RM",'Semana 1'!$L25+0.014,IF(G25="AGENTE APERTURA",'Semana 1'!$L25+0.014,IF(G25="AGENTE CIERRE",'Semana 1'!$L25+0.014," - ")))))</f>
        <v> - </v>
      </c>
      <c r="N25" s="24"/>
      <c r="O25" s="24" t="str">
        <f>IF(G25="AGENTE",'Semana 1'!$N25+0.007,IF(G25="REDES",'Semana 1'!$N25+0.007,IF(G25="AGENTE RM",'Semana 1'!$N25+0.007,IF(G25="AGENTE APERTURA",'Semana 1'!$N25+0.007,IF(G25="AGENTE CIERRE",'Semana 1'!$N25+0.007," - ")))))</f>
        <v> - </v>
      </c>
      <c r="P25" s="25" t="str">
        <f t="shared" si="2"/>
        <v>-1.0</v>
      </c>
      <c r="Q25" s="24"/>
      <c r="R25" s="24" t="str">
        <f t="shared" si="10"/>
        <v/>
      </c>
      <c r="S25" s="26"/>
      <c r="T25" s="26"/>
      <c r="U25" s="24"/>
      <c r="V25" s="24" t="str">
        <f t="shared" si="24"/>
        <v/>
      </c>
      <c r="W25" s="26"/>
      <c r="X25" s="26"/>
      <c r="Y25" s="25" t="str">
        <f t="shared" si="7"/>
        <v>0.0</v>
      </c>
      <c r="Z25" s="25" t="str">
        <f t="shared" ref="Z25:AC25" si="29">$P25</f>
        <v>-1.0</v>
      </c>
      <c r="AA25" s="25" t="str">
        <f t="shared" si="29"/>
        <v>-1.0</v>
      </c>
      <c r="AB25" s="25" t="str">
        <f t="shared" si="29"/>
        <v>-1.0</v>
      </c>
      <c r="AC25" s="25" t="str">
        <f t="shared" si="29"/>
        <v>-1.0</v>
      </c>
      <c r="AD25" s="27" t="str">
        <f t="shared" si="4"/>
        <v>-5</v>
      </c>
    </row>
    <row r="26" ht="15.75" customHeight="1">
      <c r="A26" s="50"/>
      <c r="B26" s="18">
        <v>21.0</v>
      </c>
      <c r="C26" s="18" t="s">
        <v>38</v>
      </c>
      <c r="D26" s="19"/>
      <c r="E26" s="20" t="str">
        <f>Personal!G26</f>
        <v>Ingrid Rebeca Santizo Lopez</v>
      </c>
      <c r="F26" s="20" t="s">
        <v>13</v>
      </c>
      <c r="G26" s="20" t="str">
        <f>Personal!H26</f>
        <v>AGENTE APERTURA</v>
      </c>
      <c r="H26" s="21">
        <v>0.0</v>
      </c>
      <c r="I26" s="21">
        <v>0.2916666666666667</v>
      </c>
      <c r="J26" s="21">
        <v>0.125</v>
      </c>
      <c r="K26" s="21" t="str">
        <f>IF(G26="AGENTE",'Semana 1'!$J26+0.042,IF(G26="REDES",'Semana 1'!$J26+0.042,IF(G26="AGENTE RM",'Semana 1'!$J26+0.042,IF(G26="AGENTE APERTURA",'Semana 1'!$J26+0.021,IF(G26="AGENTE CIERRE",'Semana 1'!$J26+0.021," - ")))))</f>
        <v>3:30</v>
      </c>
      <c r="L26" s="21">
        <v>0.14583333333333334</v>
      </c>
      <c r="M26" s="21" t="str">
        <f>IF(G26="AGENTE",'Semana 1'!$L26+0.014,IF(G26="REDES",'Semana 1'!$L26+0.014,IF(G26="AGENTE RM",'Semana 1'!$L26+0.014,IF(G26="AGENTE APERTURA",'Semana 1'!$L26+0.014,IF(G26="AGENTE CIERRE",'Semana 1'!$L26+0.014," - ")))))</f>
        <v>3:50</v>
      </c>
      <c r="N26" s="21">
        <v>0.15972222222222224</v>
      </c>
      <c r="O26" s="21" t="str">
        <f>IF(G26="AGENTE",'Semana 1'!$N26+0.007,IF(G26="REDES",'Semana 1'!$N26+0.007,IF(G26="AGENTE RM",'Semana 1'!$N26+0.007,IF(G26="AGENTE APERTURA",'Semana 1'!$N26+0.007,IF(G26="AGENTE CIERRE",'Semana 1'!$N26+0.007," - ")))))</f>
        <v>4:00</v>
      </c>
      <c r="P26" s="22" t="str">
        <f t="shared" si="2"/>
        <v>6.0</v>
      </c>
      <c r="Q26" s="21">
        <v>0.0</v>
      </c>
      <c r="R26" s="21">
        <v>0.2916666666666667</v>
      </c>
      <c r="S26" s="21">
        <v>0.125</v>
      </c>
      <c r="T26" s="21" t="str">
        <f>IF(G26="AGENTE",'Semana 1'!$S26+0.042,IF(G26="REDES",'Semana 1'!$S26+0.042,IF(G26="AGENTE RM",'Semana 1'!$S26+0.042,IF(G26="AGENTE APERTURA",'Semana 1'!$S26+0.021,IF(G26="AGENTE CIERRE",'Semana 1'!$S26+0.021," - ")))))</f>
        <v>3:30</v>
      </c>
      <c r="U26" s="21">
        <v>0.14583333333333334</v>
      </c>
      <c r="V26" s="21" t="str">
        <f>IF(G26="AGENTE",'Semana 1'!$U26+0.014,IF(G26="REDES",'Semana 1'!$U26+0.014,IF(G26="AGENTE RM",'Semana 1'!$U26+0.014,IF(G26="AGENTE APERTURA",'Semana 1'!$U26+0.014,IF(G26="AGENTE CIERRE",'Semana 1'!$U26+0.014," - ")))))</f>
        <v>3:50</v>
      </c>
      <c r="W26" s="21">
        <v>0.15972222222222224</v>
      </c>
      <c r="X26" s="21" t="str">
        <f>IF(G26="AGENTE",'Semana 1'!$W26+0.007,IF(G26="REDES",'Semana 1'!$W26+0.007,IF(G26="AGENTE RM",'Semana 1'!$W26+0.007,IF(G26="AGENTE APERTURA",'Semana 1'!$W26+0.007,IF(G26="AGENTE CIERRE",'Semana 1'!$W26+0.007," - ")))))</f>
        <v>4:00</v>
      </c>
      <c r="Y26" s="22" t="str">
        <f>(IFERROR(R26-Q26,0)*24)-1</f>
        <v>6.0</v>
      </c>
      <c r="Z26" s="22" t="str">
        <f t="shared" ref="Z26:AC26" si="30">$P26</f>
        <v>6.0</v>
      </c>
      <c r="AA26" s="22" t="str">
        <f t="shared" si="30"/>
        <v>6.0</v>
      </c>
      <c r="AB26" s="22" t="str">
        <f t="shared" si="30"/>
        <v>6.0</v>
      </c>
      <c r="AC26" s="22" t="str">
        <f t="shared" si="30"/>
        <v>6.0</v>
      </c>
      <c r="AD26" s="23" t="str">
        <f t="shared" si="4"/>
        <v>36</v>
      </c>
    </row>
    <row r="27" ht="15.75" customHeight="1">
      <c r="A27" s="50"/>
      <c r="B27" s="18">
        <v>22.0</v>
      </c>
      <c r="C27" s="18" t="s">
        <v>39</v>
      </c>
      <c r="D27" s="19"/>
      <c r="E27" s="20" t="str">
        <f>Personal!G27</f>
        <v>-</v>
      </c>
      <c r="F27" s="20" t="s">
        <v>13</v>
      </c>
      <c r="G27" s="20" t="str">
        <f>Personal!H27</f>
        <v>-</v>
      </c>
      <c r="H27" s="24"/>
      <c r="I27" s="24" t="str">
        <f>IF(H27=0," ",IF(Q27=0,(H27+0.417),(H27+0.292)))</f>
        <v> </v>
      </c>
      <c r="J27" s="24"/>
      <c r="K27" s="24" t="str">
        <f>IF(G27="AGENTE",'Semana 1'!$J27+0.042,IF(G27="REDES",'Semana 1'!$J27+0.042,IF(G27="AGENTE RM",'Semana 1'!$J27+0.042,IF(G27="AGENTE APERTURA",'Semana 1'!$J27+0.021,IF(G27="AGENTE CIERRE",'Semana 1'!$J27+0.021," - ")))))</f>
        <v> - </v>
      </c>
      <c r="L27" s="24"/>
      <c r="M27" s="24" t="str">
        <f>IF(G27="AGENTE",'Semana 1'!$L27+0.014,IF(G27="REDES",'Semana 1'!$L27+0.014,IF(G27="AGENTE RM",'Semana 1'!$L27+0.014,IF(G27="AGENTE APERTURA",'Semana 1'!$L27+0.014,IF(G27="AGENTE CIERRE",'Semana 1'!$L27+0.014," - ")))))</f>
        <v> - </v>
      </c>
      <c r="N27" s="24"/>
      <c r="O27" s="24" t="str">
        <f>IF(G27="AGENTE",'Semana 1'!$N27+0.007,IF(G27="REDES",'Semana 1'!$N27+0.007,IF(G27="AGENTE RM",'Semana 1'!$N27+0.007,IF(G27="AGENTE APERTURA",'Semana 1'!$N27+0.007,IF(G27="AGENTE CIERRE",'Semana 1'!$N27+0.007," - ")))))</f>
        <v> - </v>
      </c>
      <c r="P27" s="25" t="str">
        <f t="shared" si="2"/>
        <v>-1.0</v>
      </c>
      <c r="Q27" s="24"/>
      <c r="R27" s="24" t="str">
        <f>IF(Q27=0," ",IF(Z27=0,(Q27+0.417),(Q27+0.292)))</f>
        <v> </v>
      </c>
      <c r="S27" s="26"/>
      <c r="T27" s="26" t="str">
        <f t="shared" ref="T27:T28" si="32">IF(S27=0,"",S27+0.041)</f>
        <v/>
      </c>
      <c r="U27" s="24"/>
      <c r="V27" s="24" t="str">
        <f t="shared" ref="V27:V28" si="33">IF(U27=0,"",U27+0.01)</f>
        <v/>
      </c>
      <c r="W27" s="26"/>
      <c r="X27" s="26" t="str">
        <f t="shared" ref="X27:X28" si="34">IF(W27=0,"",W27+0.01)</f>
        <v/>
      </c>
      <c r="Y27" s="25" t="str">
        <f t="shared" ref="Y27:Y53" si="35">(IFERROR(R27-Q27,0)*24)</f>
        <v>0.0</v>
      </c>
      <c r="Z27" s="25" t="str">
        <f t="shared" ref="Z27:AC27" si="31">$P27</f>
        <v>-1.0</v>
      </c>
      <c r="AA27" s="25" t="str">
        <f t="shared" si="31"/>
        <v>-1.0</v>
      </c>
      <c r="AB27" s="25" t="str">
        <f t="shared" si="31"/>
        <v>-1.0</v>
      </c>
      <c r="AC27" s="25" t="str">
        <f t="shared" si="31"/>
        <v>-1.0</v>
      </c>
      <c r="AD27" s="27" t="str">
        <f t="shared" si="4"/>
        <v>-5</v>
      </c>
    </row>
    <row r="28" ht="15.75" customHeight="1">
      <c r="B28" s="18">
        <v>23.0</v>
      </c>
      <c r="C28" s="18" t="s">
        <v>38</v>
      </c>
      <c r="D28" s="19"/>
      <c r="E28" s="20" t="str">
        <f>Personal!G28</f>
        <v>Byron Abdiel Santos Mejia</v>
      </c>
      <c r="F28" s="20" t="s">
        <v>13</v>
      </c>
      <c r="G28" s="20" t="str">
        <f>Personal!H28</f>
        <v>AGENTE</v>
      </c>
      <c r="H28" s="21">
        <v>0.375</v>
      </c>
      <c r="I28" s="21" t="str">
        <f t="shared" ref="I28:I32" si="37">IF(H28=0," ",IF(Q28=0,(H28+0.417),(H28+0.3756)))</f>
        <v>18:00</v>
      </c>
      <c r="J28" s="21">
        <v>0.625</v>
      </c>
      <c r="K28" s="21" t="str">
        <f>IF(G28="AGENTE",'Semana 1'!$J28+0.042,IF(G28="REDES",'Semana 1'!$J28+0.042,IF(G28="AGENTE RM",'Semana 1'!$J28+0.042,IF(G28="AGENTE APERTURA",'Semana 1'!$J28+0.021,IF(G28="AGENTE CIERRE",'Semana 1'!$J28+0.021," - ")))))</f>
        <v>16:00</v>
      </c>
      <c r="L28" s="21">
        <v>0.2916666666666667</v>
      </c>
      <c r="M28" s="21" t="str">
        <f>IF(G28="AGENTE",'Semana 1'!$L28+0.014,IF(G28="REDES",'Semana 1'!$L28+0.014,IF(G28="AGENTE RM",'Semana 1'!$L28+0.014,IF(G28="AGENTE APERTURA",'Semana 1'!$L28+0.014,IF(G28="AGENTE CIERRE",'Semana 1'!$L28+0.014," - ")))))</f>
        <v>7:20</v>
      </c>
      <c r="N28" s="21">
        <v>0.71875</v>
      </c>
      <c r="O28" s="21" t="str">
        <f>IF(G28="AGENTE",'Semana 1'!$N28+0.007,IF(G28="REDES",'Semana 1'!$N28+0.007,IF(G28="AGENTE RM",'Semana 1'!$N28+0.007,IF(G28="AGENTE APERTURA",'Semana 1'!$N28+0.007,IF(G28="AGENTE CIERRE",'Semana 1'!$N28+0.007," - ")))))</f>
        <v>17:25</v>
      </c>
      <c r="P28" s="22" t="str">
        <f t="shared" si="2"/>
        <v>8.0</v>
      </c>
      <c r="Q28" s="21">
        <v>0.375</v>
      </c>
      <c r="R28" s="21" t="str">
        <f t="shared" ref="R28:R32" si="38">IF(Q28=0,"",Q28+0.209)</f>
        <v>14:00</v>
      </c>
      <c r="S28" s="21"/>
      <c r="T28" s="21" t="str">
        <f t="shared" si="32"/>
        <v/>
      </c>
      <c r="U28" s="21">
        <v>0.3770833333333334</v>
      </c>
      <c r="V28" s="21" t="str">
        <f t="shared" si="33"/>
        <v>9:17</v>
      </c>
      <c r="W28" s="21"/>
      <c r="X28" s="21" t="str">
        <f t="shared" si="34"/>
        <v/>
      </c>
      <c r="Y28" s="22" t="str">
        <f t="shared" si="35"/>
        <v>5.0</v>
      </c>
      <c r="Z28" s="22" t="str">
        <f t="shared" ref="Z28:AC28" si="36">$P28</f>
        <v>8.0</v>
      </c>
      <c r="AA28" s="22" t="str">
        <f t="shared" si="36"/>
        <v>8.0</v>
      </c>
      <c r="AB28" s="22" t="str">
        <f t="shared" si="36"/>
        <v>8.0</v>
      </c>
      <c r="AC28" s="22" t="str">
        <f t="shared" si="36"/>
        <v>8.0</v>
      </c>
      <c r="AD28" s="23" t="str">
        <f t="shared" si="4"/>
        <v>45</v>
      </c>
    </row>
    <row r="29" ht="15.75" customHeight="1">
      <c r="B29" s="18">
        <v>24.0</v>
      </c>
      <c r="C29" s="18" t="s">
        <v>38</v>
      </c>
      <c r="D29" s="19"/>
      <c r="E29" s="20" t="str">
        <f>Personal!G29</f>
        <v>Karen Lisbeth Vega Ramirez</v>
      </c>
      <c r="F29" s="20" t="s">
        <v>13</v>
      </c>
      <c r="G29" s="20" t="str">
        <f>Personal!H29</f>
        <v>REDES</v>
      </c>
      <c r="H29" s="24">
        <v>0.375</v>
      </c>
      <c r="I29" s="24" t="str">
        <f t="shared" si="37"/>
        <v>18:00</v>
      </c>
      <c r="J29" s="24">
        <v>0.5</v>
      </c>
      <c r="K29" s="24" t="str">
        <f>IF(G29="AGENTE",'Semana 1'!$J29+0.042,IF(G29="REDES",'Semana 1'!$J29+0.042,IF(G29="AGENTE RM",'Semana 1'!$J29+0.042,IF(G29="AGENTE APERTURA",'Semana 1'!$J29+0.021,IF(G29="AGENTE CIERRE",'Semana 1'!$J29+0.021," - ")))))</f>
        <v>13:00</v>
      </c>
      <c r="L29" s="24">
        <v>0.4583333333333333</v>
      </c>
      <c r="M29" s="24" t="str">
        <f>IF(G29="AGENTE",'Semana 1'!$L29+0.014,IF(G29="REDES",'Semana 1'!$L29+0.014,IF(G29="AGENTE RM",'Semana 1'!$L29+0.014,IF(G29="AGENTE APERTURA",'Semana 1'!$L29+0.014,IF(G29="AGENTE CIERRE",'Semana 1'!$L29+0.014," - ")))))</f>
        <v>11:20</v>
      </c>
      <c r="N29" s="24">
        <v>0.6597222222222222</v>
      </c>
      <c r="O29" s="24" t="str">
        <f>IF(G29="AGENTE",'Semana 1'!$N29+0.007,IF(G29="REDES",'Semana 1'!$N29+0.007,IF(G29="AGENTE RM",'Semana 1'!$N29+0.007,IF(G29="AGENTE APERTURA",'Semana 1'!$N29+0.007,IF(G29="AGENTE CIERRE",'Semana 1'!$N29+0.007," - ")))))</f>
        <v>16:00</v>
      </c>
      <c r="P29" s="25" t="str">
        <f t="shared" si="2"/>
        <v>8.0</v>
      </c>
      <c r="Q29" s="24">
        <v>0.2708333333333333</v>
      </c>
      <c r="R29" s="24" t="str">
        <f t="shared" si="38"/>
        <v>11:30</v>
      </c>
      <c r="S29" s="26"/>
      <c r="T29" s="26"/>
      <c r="U29" s="24">
        <v>0.3333333333333333</v>
      </c>
      <c r="V29" s="24" t="str">
        <f t="shared" ref="V29:V32" si="40">IF(U29=0,"",U29+0.021)</f>
        <v>8:30</v>
      </c>
      <c r="W29" s="26"/>
      <c r="X29" s="26"/>
      <c r="Y29" s="25" t="str">
        <f t="shared" si="35"/>
        <v>5.0</v>
      </c>
      <c r="Z29" s="25" t="str">
        <f t="shared" ref="Z29:AC29" si="39">$P29</f>
        <v>8.0</v>
      </c>
      <c r="AA29" s="25" t="str">
        <f t="shared" si="39"/>
        <v>8.0</v>
      </c>
      <c r="AB29" s="25" t="str">
        <f t="shared" si="39"/>
        <v>8.0</v>
      </c>
      <c r="AC29" s="25" t="str">
        <f t="shared" si="39"/>
        <v>8.0</v>
      </c>
      <c r="AD29" s="27" t="str">
        <f t="shared" si="4"/>
        <v>45</v>
      </c>
    </row>
    <row r="30" ht="15.75" customHeight="1">
      <c r="B30" s="18">
        <v>25.0</v>
      </c>
      <c r="C30" s="18" t="s">
        <v>38</v>
      </c>
      <c r="D30" s="19"/>
      <c r="E30" s="20" t="str">
        <f>Personal!G30</f>
        <v>Osiris Azucena Leiva Leon</v>
      </c>
      <c r="F30" s="20" t="s">
        <v>13</v>
      </c>
      <c r="G30" s="20" t="str">
        <f>Personal!H30</f>
        <v>AGENTE</v>
      </c>
      <c r="H30" s="21">
        <v>0.2916666666666667</v>
      </c>
      <c r="I30" s="21" t="str">
        <f t="shared" si="37"/>
        <v>16:00</v>
      </c>
      <c r="J30" s="21">
        <v>0.5</v>
      </c>
      <c r="K30" s="21" t="str">
        <f>IF(G30="AGENTE",'Semana 1'!$J30+0.042,IF(G30="REDES",'Semana 1'!$J30+0.042,IF(G30="AGENTE RM",'Semana 1'!$J30+0.042,IF(G30="AGENTE APERTURA",'Semana 1'!$J30+0.021,IF(G30="AGENTE CIERRE",'Semana 1'!$J30+0.021," - ")))))</f>
        <v>13:00</v>
      </c>
      <c r="L30" s="21">
        <v>0.3541666666666667</v>
      </c>
      <c r="M30" s="21" t="str">
        <f>IF(G30="AGENTE",'Semana 1'!$L30+0.014,IF(G30="REDES",'Semana 1'!$L30+0.014,IF(G30="AGENTE RM",'Semana 1'!$L30+0.014,IF(G30="AGENTE APERTURA",'Semana 1'!$L30+0.014,IF(G30="AGENTE CIERRE",'Semana 1'!$L30+0.014," - ")))))</f>
        <v>8:50</v>
      </c>
      <c r="N30" s="21">
        <v>0.65625</v>
      </c>
      <c r="O30" s="21" t="str">
        <f>IF(G30="AGENTE",'Semana 1'!$N30+0.007,IF(G30="REDES",'Semana 1'!$N30+0.007,IF(G30="AGENTE RM",'Semana 1'!$N30+0.007,IF(G30="AGENTE APERTURA",'Semana 1'!$N30+0.007,IF(G30="AGENTE CIERRE",'Semana 1'!$N30+0.007," - ")))))</f>
        <v>15:55</v>
      </c>
      <c r="P30" s="22" t="str">
        <f t="shared" si="2"/>
        <v>8.0</v>
      </c>
      <c r="Q30" s="21">
        <v>0.4166666666666667</v>
      </c>
      <c r="R30" s="21" t="str">
        <f t="shared" si="38"/>
        <v>15:00</v>
      </c>
      <c r="S30" s="28"/>
      <c r="T30" s="28"/>
      <c r="U30" s="21">
        <v>0.4583333333333333</v>
      </c>
      <c r="V30" s="21" t="str">
        <f t="shared" si="40"/>
        <v>11:30</v>
      </c>
      <c r="W30" s="28"/>
      <c r="X30" s="28"/>
      <c r="Y30" s="22" t="str">
        <f t="shared" si="35"/>
        <v>5.0</v>
      </c>
      <c r="Z30" s="22" t="str">
        <f t="shared" ref="Z30:AC30" si="41">$P30</f>
        <v>8.0</v>
      </c>
      <c r="AA30" s="22" t="str">
        <f t="shared" si="41"/>
        <v>8.0</v>
      </c>
      <c r="AB30" s="22" t="str">
        <f t="shared" si="41"/>
        <v>8.0</v>
      </c>
      <c r="AC30" s="22" t="str">
        <f t="shared" si="41"/>
        <v>8.0</v>
      </c>
      <c r="AD30" s="23" t="str">
        <f t="shared" si="4"/>
        <v>45</v>
      </c>
    </row>
    <row r="31" ht="15.75" customHeight="1">
      <c r="B31" s="18">
        <v>26.0</v>
      </c>
      <c r="C31" s="18" t="s">
        <v>38</v>
      </c>
      <c r="D31" s="19"/>
      <c r="E31" s="20" t="str">
        <f>Personal!G31</f>
        <v>Gabriela Abigail Guzman Diaz</v>
      </c>
      <c r="F31" s="20" t="s">
        <v>13</v>
      </c>
      <c r="G31" s="20" t="str">
        <f>Personal!H31</f>
        <v>SOPORTE</v>
      </c>
      <c r="H31" s="24"/>
      <c r="I31" s="24" t="str">
        <f t="shared" si="37"/>
        <v> </v>
      </c>
      <c r="J31" s="24"/>
      <c r="K31" s="24" t="str">
        <f>IF(G31="AGENTE",'Semana 1'!$J31+0.042,IF(G31="REDES",'Semana 1'!$J31+0.042,IF(G31="AGENTE RM",'Semana 1'!$J31+0.042,IF(G31="AGENTE APERTURA",'Semana 1'!$J31+0.021,IF(G31="AGENTE CIERRE",'Semana 1'!$J31+0.021," - ")))))</f>
        <v> - </v>
      </c>
      <c r="L31" s="24"/>
      <c r="M31" s="24" t="str">
        <f>IF(G31="AGENTE",'Semana 1'!$L31+0.014,IF(G31="REDES",'Semana 1'!$L31+0.014,IF(G31="AGENTE RM",'Semana 1'!$L31+0.014,IF(G31="AGENTE APERTURA",'Semana 1'!$L31+0.014,IF(G31="AGENTE CIERRE",'Semana 1'!$L31+0.014," - ")))))</f>
        <v> - </v>
      </c>
      <c r="N31" s="24"/>
      <c r="O31" s="24" t="str">
        <f>IF(G31="AGENTE",'Semana 1'!$N31+0.007,IF(G31="REDES",'Semana 1'!$N31+0.007,IF(G31="AGENTE RM",'Semana 1'!$N31+0.007,IF(G31="AGENTE APERTURA",'Semana 1'!$N31+0.007,IF(G31="AGENTE CIERRE",'Semana 1'!$N31+0.007," - ")))))</f>
        <v> - </v>
      </c>
      <c r="P31" s="25" t="str">
        <f t="shared" si="2"/>
        <v>-1.0</v>
      </c>
      <c r="Q31" s="24"/>
      <c r="R31" s="24" t="str">
        <f t="shared" si="38"/>
        <v/>
      </c>
      <c r="S31" s="26"/>
      <c r="T31" s="26"/>
      <c r="U31" s="24"/>
      <c r="V31" s="24" t="str">
        <f t="shared" si="40"/>
        <v/>
      </c>
      <c r="W31" s="26"/>
      <c r="X31" s="26"/>
      <c r="Y31" s="25" t="str">
        <f t="shared" si="35"/>
        <v>0.0</v>
      </c>
      <c r="Z31" s="25" t="str">
        <f t="shared" ref="Z31:AC31" si="42">$P31</f>
        <v>-1.0</v>
      </c>
      <c r="AA31" s="25" t="str">
        <f t="shared" si="42"/>
        <v>-1.0</v>
      </c>
      <c r="AB31" s="25" t="str">
        <f t="shared" si="42"/>
        <v>-1.0</v>
      </c>
      <c r="AC31" s="25" t="str">
        <f t="shared" si="42"/>
        <v>-1.0</v>
      </c>
      <c r="AD31" s="27" t="str">
        <f t="shared" si="4"/>
        <v>-5</v>
      </c>
    </row>
    <row r="32" ht="15.75" customHeight="1">
      <c r="B32" s="18">
        <v>27.0</v>
      </c>
      <c r="C32" s="18" t="s">
        <v>38</v>
      </c>
      <c r="D32" s="19"/>
      <c r="E32" s="20" t="str">
        <f>Personal!G32</f>
        <v>Consuelo Magali Herrarte Bautista</v>
      </c>
      <c r="F32" s="20" t="s">
        <v>13</v>
      </c>
      <c r="G32" s="20" t="str">
        <f>Personal!H32</f>
        <v>AGENTE</v>
      </c>
      <c r="H32" s="21">
        <v>0.4166666666666667</v>
      </c>
      <c r="I32" s="21" t="str">
        <f t="shared" si="37"/>
        <v>19:00</v>
      </c>
      <c r="J32" s="21">
        <v>0.625</v>
      </c>
      <c r="K32" s="21" t="str">
        <f>IF(G32="AGENTE",'Semana 1'!$J32+0.042,IF(G32="REDES",'Semana 1'!$J32+0.042,IF(G32="AGENTE RM",'Semana 1'!$J32+0.042,IF(G32="AGENTE APERTURA",'Semana 1'!$J32+0.021,IF(G32="AGENTE CIERRE",'Semana 1'!$J32+0.021," - ")))))</f>
        <v>16:00</v>
      </c>
      <c r="L32" s="21">
        <v>0.4375</v>
      </c>
      <c r="M32" s="21" t="str">
        <f>IF(G32="AGENTE",'Semana 1'!$L32+0.014,IF(G32="REDES",'Semana 1'!$L32+0.014,IF(G32="AGENTE RM",'Semana 1'!$L32+0.014,IF(G32="AGENTE APERTURA",'Semana 1'!$L32+0.014,IF(G32="AGENTE CIERRE",'Semana 1'!$L32+0.014," - ")))))</f>
        <v>10:50</v>
      </c>
      <c r="N32" s="21">
        <v>0.75</v>
      </c>
      <c r="O32" s="21" t="str">
        <f>IF(G32="AGENTE",'Semana 1'!$N32+0.007,IF(G32="REDES",'Semana 1'!$N32+0.007,IF(G32="AGENTE RM",'Semana 1'!$N32+0.007,IF(G32="AGENTE APERTURA",'Semana 1'!$N32+0.007,IF(G32="AGENTE CIERRE",'Semana 1'!$N32+0.007," - ")))))</f>
        <v>18:10</v>
      </c>
      <c r="P32" s="22" t="str">
        <f t="shared" si="2"/>
        <v>8.0</v>
      </c>
      <c r="Q32" s="21">
        <v>0.4166666666666667</v>
      </c>
      <c r="R32" s="21" t="str">
        <f t="shared" si="38"/>
        <v>15:00</v>
      </c>
      <c r="S32" s="28"/>
      <c r="T32" s="28"/>
      <c r="U32" s="21">
        <v>0.4791666666666667</v>
      </c>
      <c r="V32" s="21" t="str">
        <f t="shared" si="40"/>
        <v>12:00</v>
      </c>
      <c r="W32" s="28"/>
      <c r="X32" s="28"/>
      <c r="Y32" s="22" t="str">
        <f t="shared" si="35"/>
        <v>5.0</v>
      </c>
      <c r="Z32" s="22" t="str">
        <f t="shared" ref="Z32:AC32" si="43">$P32</f>
        <v>8.0</v>
      </c>
      <c r="AA32" s="22" t="str">
        <f t="shared" si="43"/>
        <v>8.0</v>
      </c>
      <c r="AB32" s="22" t="str">
        <f t="shared" si="43"/>
        <v>8.0</v>
      </c>
      <c r="AC32" s="22" t="str">
        <f t="shared" si="43"/>
        <v>8.0</v>
      </c>
      <c r="AD32" s="23" t="str">
        <f t="shared" si="4"/>
        <v>45</v>
      </c>
    </row>
    <row r="33" ht="15.75" customHeight="1">
      <c r="A33" s="50"/>
      <c r="B33" s="18">
        <v>28.0</v>
      </c>
      <c r="C33" s="18" t="s">
        <v>39</v>
      </c>
      <c r="D33" s="19"/>
      <c r="E33" s="20" t="str">
        <f>Personal!G33</f>
        <v>-</v>
      </c>
      <c r="F33" s="20" t="s">
        <v>13</v>
      </c>
      <c r="G33" s="20" t="str">
        <f>Personal!H33</f>
        <v>-</v>
      </c>
      <c r="H33" s="24"/>
      <c r="I33" s="24" t="str">
        <f>IF(H33=0," ",IF(Q33=0,(H33+0.417),(H33+0.292)))</f>
        <v> </v>
      </c>
      <c r="J33" s="24"/>
      <c r="K33" s="24" t="str">
        <f>IF(G33="AGENTE",'Semana 1'!$J33+0.042,IF(G33="REDES",'Semana 1'!$J33+0.042,IF(G33="AGENTE RM",'Semana 1'!$J33+0.042,IF(G33="AGENTE APERTURA",'Semana 1'!$J33+0.021,IF(G33="AGENTE CIERRE",'Semana 1'!$J33+0.021," - ")))))</f>
        <v> - </v>
      </c>
      <c r="L33" s="24"/>
      <c r="M33" s="24" t="str">
        <f>IF(G33="AGENTE",'Semana 1'!$L33+0.014,IF(G33="REDES",'Semana 1'!$L33+0.014,IF(G33="AGENTE RM",'Semana 1'!$L33+0.014,IF(G33="AGENTE APERTURA",'Semana 1'!$L33+0.014,IF(G33="AGENTE CIERRE",'Semana 1'!$L33+0.014," - ")))))</f>
        <v> - </v>
      </c>
      <c r="N33" s="24"/>
      <c r="O33" s="24" t="str">
        <f>IF(G33="AGENTE",'Semana 1'!$N33+0.007,IF(G33="REDES",'Semana 1'!$N33+0.007,IF(G33="AGENTE RM",'Semana 1'!$N33+0.007,IF(G33="AGENTE APERTURA",'Semana 1'!$N33+0.007,IF(G33="AGENTE CIERRE",'Semana 1'!$N33+0.007," - ")))))</f>
        <v> - </v>
      </c>
      <c r="P33" s="25" t="str">
        <f t="shared" si="2"/>
        <v>-1.0</v>
      </c>
      <c r="Q33" s="24"/>
      <c r="R33" s="24" t="str">
        <f>IF(Q33=0," ",IF(Z33=0,(Q33+0.417),(Q33+0.292)))</f>
        <v> </v>
      </c>
      <c r="S33" s="26"/>
      <c r="T33" s="26" t="str">
        <f t="shared" ref="T33:T35" si="45">IF(S33=0,"",S33+0.041)</f>
        <v/>
      </c>
      <c r="U33" s="24"/>
      <c r="V33" s="24" t="str">
        <f t="shared" ref="V33:V35" si="46">IF(U33=0,"",U33+0.01)</f>
        <v/>
      </c>
      <c r="W33" s="26"/>
      <c r="X33" s="26" t="str">
        <f t="shared" ref="X33:X35" si="47">IF(W33=0,"",W33+0.01)</f>
        <v/>
      </c>
      <c r="Y33" s="25" t="str">
        <f t="shared" si="35"/>
        <v>0.0</v>
      </c>
      <c r="Z33" s="25" t="str">
        <f t="shared" ref="Z33:AC33" si="44">$P33</f>
        <v>-1.0</v>
      </c>
      <c r="AA33" s="25" t="str">
        <f t="shared" si="44"/>
        <v>-1.0</v>
      </c>
      <c r="AB33" s="25" t="str">
        <f t="shared" si="44"/>
        <v>-1.0</v>
      </c>
      <c r="AC33" s="25" t="str">
        <f t="shared" si="44"/>
        <v>-1.0</v>
      </c>
      <c r="AD33" s="27" t="str">
        <f t="shared" si="4"/>
        <v>-5</v>
      </c>
    </row>
    <row r="34" ht="15.75" customHeight="1">
      <c r="A34" s="50"/>
      <c r="B34" s="18">
        <v>29.0</v>
      </c>
      <c r="C34" s="18" t="s">
        <v>39</v>
      </c>
      <c r="D34" s="19"/>
      <c r="E34" s="20" t="str">
        <f>Personal!G34</f>
        <v>-</v>
      </c>
      <c r="F34" s="20" t="s">
        <v>13</v>
      </c>
      <c r="G34" s="20" t="str">
        <f>Personal!H34</f>
        <v>-</v>
      </c>
      <c r="H34" s="21"/>
      <c r="I34" s="21" t="str">
        <f t="shared" ref="I34:I38" si="49">IF(H34=0," ",IF(Q34=0,(H34+0.417),(H34+0.3756)))</f>
        <v> </v>
      </c>
      <c r="J34" s="21"/>
      <c r="K34" s="21" t="str">
        <f>IF(G34="AGENTE",'Semana 1'!$J34+0.042,IF(G34="REDES",'Semana 1'!$J34+0.042,IF(G34="AGENTE RM",'Semana 1'!$J34+0.042,IF(G34="AGENTE APERTURA",'Semana 1'!$J34+0.021,IF(G34="AGENTE CIERRE",'Semana 1'!$J34+0.021," - ")))))</f>
        <v> - </v>
      </c>
      <c r="L34" s="21"/>
      <c r="M34" s="21" t="str">
        <f>IF(G34="AGENTE",'Semana 1'!$L34+0.014,IF(G34="REDES",'Semana 1'!$L34+0.014,IF(G34="AGENTE RM",'Semana 1'!$L34+0.014,IF(G34="AGENTE APERTURA",'Semana 1'!$L34+0.014,IF(G34="AGENTE CIERRE",'Semana 1'!$L34+0.014," - ")))))</f>
        <v> - </v>
      </c>
      <c r="N34" s="21"/>
      <c r="O34" s="21" t="str">
        <f>IF(G34="AGENTE",'Semana 1'!$N34+0.007,IF(G34="REDES",'Semana 1'!$N34+0.007,IF(G34="AGENTE RM",'Semana 1'!$N34+0.007,IF(G34="AGENTE APERTURA",'Semana 1'!$N34+0.007,IF(G34="AGENTE CIERRE",'Semana 1'!$N34+0.007," - ")))))</f>
        <v> - </v>
      </c>
      <c r="P34" s="22" t="str">
        <f t="shared" si="2"/>
        <v>-1.0</v>
      </c>
      <c r="Q34" s="21"/>
      <c r="R34" s="21" t="str">
        <f t="shared" ref="R34:R38" si="50">IF(Q34=0,"",Q34+0.209)</f>
        <v/>
      </c>
      <c r="S34" s="21"/>
      <c r="T34" s="21" t="str">
        <f t="shared" si="45"/>
        <v/>
      </c>
      <c r="U34" s="21"/>
      <c r="V34" s="21" t="str">
        <f t="shared" si="46"/>
        <v/>
      </c>
      <c r="W34" s="21"/>
      <c r="X34" s="21" t="str">
        <f t="shared" si="47"/>
        <v/>
      </c>
      <c r="Y34" s="22" t="str">
        <f t="shared" si="35"/>
        <v>0.0</v>
      </c>
      <c r="Z34" s="22" t="str">
        <f t="shared" ref="Z34:AC34" si="48">$P34</f>
        <v>-1.0</v>
      </c>
      <c r="AA34" s="22" t="str">
        <f t="shared" si="48"/>
        <v>-1.0</v>
      </c>
      <c r="AB34" s="22" t="str">
        <f t="shared" si="48"/>
        <v>-1.0</v>
      </c>
      <c r="AC34" s="22" t="str">
        <f t="shared" si="48"/>
        <v>-1.0</v>
      </c>
      <c r="AD34" s="23" t="str">
        <f t="shared" si="4"/>
        <v>-5</v>
      </c>
    </row>
    <row r="35" ht="15.75" customHeight="1">
      <c r="A35" s="50"/>
      <c r="B35" s="18">
        <v>30.0</v>
      </c>
      <c r="C35" s="18" t="s">
        <v>38</v>
      </c>
      <c r="D35" s="19"/>
      <c r="E35" s="20" t="str">
        <f>Personal!G35</f>
        <v>Yoselin Delfina Lucas Juárez</v>
      </c>
      <c r="F35" s="20" t="s">
        <v>13</v>
      </c>
      <c r="G35" s="20" t="str">
        <f>Personal!H35</f>
        <v>REDES</v>
      </c>
      <c r="H35" s="24">
        <v>0.375</v>
      </c>
      <c r="I35" s="24" t="str">
        <f t="shared" si="49"/>
        <v>18:00</v>
      </c>
      <c r="J35" s="24">
        <v>0.5</v>
      </c>
      <c r="K35" s="24" t="str">
        <f>IF(G35="AGENTE",'Semana 1'!$J35+0.042,IF(G35="REDES",'Semana 1'!$J35+0.042,IF(G35="AGENTE RM",'Semana 1'!$J35+0.042,IF(G35="AGENTE APERTURA",'Semana 1'!$J35+0.021,IF(G35="AGENTE CIERRE",'Semana 1'!$J35+0.021," - ")))))</f>
        <v>13:00</v>
      </c>
      <c r="L35" s="24">
        <v>0.4444444444444444</v>
      </c>
      <c r="M35" s="24" t="str">
        <f>IF(G35="AGENTE",'Semana 1'!$L35+0.014,IF(G35="REDES",'Semana 1'!$L35+0.014,IF(G35="AGENTE RM",'Semana 1'!$L35+0.014,IF(G35="AGENTE APERTURA",'Semana 1'!$L35+0.014,IF(G35="AGENTE CIERRE",'Semana 1'!$L35+0.014," - ")))))</f>
        <v>11:00</v>
      </c>
      <c r="N35" s="24">
        <v>0.6666666666666666</v>
      </c>
      <c r="O35" s="24" t="str">
        <f>IF(G35="AGENTE",'Semana 1'!$N35+0.007,IF(G35="REDES",'Semana 1'!$N35+0.007,IF(G35="AGENTE RM",'Semana 1'!$N35+0.007,IF(G35="AGENTE APERTURA",'Semana 1'!$N35+0.007,IF(G35="AGENTE CIERRE",'Semana 1'!$N35+0.007," - ")))))</f>
        <v>16:10</v>
      </c>
      <c r="P35" s="25" t="str">
        <f t="shared" si="2"/>
        <v>8.0</v>
      </c>
      <c r="Q35" s="24">
        <v>0.4166666666666667</v>
      </c>
      <c r="R35" s="24" t="str">
        <f t="shared" si="50"/>
        <v>15:00</v>
      </c>
      <c r="S35" s="26"/>
      <c r="T35" s="26" t="str">
        <f t="shared" si="45"/>
        <v/>
      </c>
      <c r="U35" s="24">
        <v>0.5</v>
      </c>
      <c r="V35" s="24" t="str">
        <f t="shared" si="46"/>
        <v>12:14</v>
      </c>
      <c r="W35" s="26"/>
      <c r="X35" s="26" t="str">
        <f t="shared" si="47"/>
        <v/>
      </c>
      <c r="Y35" s="25" t="str">
        <f t="shared" si="35"/>
        <v>5.0</v>
      </c>
      <c r="Z35" s="25" t="str">
        <f t="shared" ref="Z35:AC35" si="51">$P35</f>
        <v>8.0</v>
      </c>
      <c r="AA35" s="25" t="str">
        <f t="shared" si="51"/>
        <v>8.0</v>
      </c>
      <c r="AB35" s="25" t="str">
        <f t="shared" si="51"/>
        <v>8.0</v>
      </c>
      <c r="AC35" s="25" t="str">
        <f t="shared" si="51"/>
        <v>8.0</v>
      </c>
      <c r="AD35" s="27" t="str">
        <f t="shared" si="4"/>
        <v>45</v>
      </c>
    </row>
    <row r="36" ht="15.75" customHeight="1">
      <c r="B36" s="18">
        <v>31.0</v>
      </c>
      <c r="C36" s="18" t="s">
        <v>38</v>
      </c>
      <c r="D36" s="19"/>
      <c r="E36" s="20" t="str">
        <f>Personal!G36</f>
        <v>Marleny Elizabeth Orozco Carrera</v>
      </c>
      <c r="F36" s="20" t="s">
        <v>13</v>
      </c>
      <c r="G36" s="20" t="str">
        <f>Personal!H36</f>
        <v>AGENTE</v>
      </c>
      <c r="H36" s="21">
        <v>0.3333333333333333</v>
      </c>
      <c r="I36" s="21" t="str">
        <f t="shared" si="49"/>
        <v>17:00</v>
      </c>
      <c r="J36" s="21">
        <v>0.5625</v>
      </c>
      <c r="K36" s="21" t="str">
        <f>IF(G36="AGENTE",'Semana 1'!$J36+0.042,IF(G36="REDES",'Semana 1'!$J36+0.042,IF(G36="AGENTE RM",'Semana 1'!$J36+0.042,IF(G36="AGENTE APERTURA",'Semana 1'!$J36+0.021,IF(G36="AGENTE CIERRE",'Semana 1'!$J36+0.021," - ")))))</f>
        <v>14:30</v>
      </c>
      <c r="L36" s="21">
        <v>0.34375</v>
      </c>
      <c r="M36" s="21" t="str">
        <f>IF(G36="AGENTE",'Semana 1'!$L36+0.014,IF(G36="REDES",'Semana 1'!$L36+0.014,IF(G36="AGENTE RM",'Semana 1'!$L36+0.014,IF(G36="AGENTE APERTURA",'Semana 1'!$L36+0.014,IF(G36="AGENTE CIERRE",'Semana 1'!$L36+0.014," - ")))))</f>
        <v>8:35</v>
      </c>
      <c r="N36" s="21">
        <v>0.6770833333333334</v>
      </c>
      <c r="O36" s="21" t="str">
        <f>IF(G36="AGENTE",'Semana 1'!$N36+0.007,IF(G36="REDES",'Semana 1'!$N36+0.007,IF(G36="AGENTE RM",'Semana 1'!$N36+0.007,IF(G36="AGENTE APERTURA",'Semana 1'!$N36+0.007,IF(G36="AGENTE CIERRE",'Semana 1'!$N36+0.007," - ")))))</f>
        <v>16:25</v>
      </c>
      <c r="P36" s="22" t="str">
        <f t="shared" si="2"/>
        <v>8.0</v>
      </c>
      <c r="Q36" s="21">
        <v>0.3541666666666667</v>
      </c>
      <c r="R36" s="21" t="str">
        <f t="shared" si="50"/>
        <v>13:30</v>
      </c>
      <c r="S36" s="28"/>
      <c r="T36" s="28"/>
      <c r="U36" s="21">
        <v>0.375</v>
      </c>
      <c r="V36" s="21" t="str">
        <f t="shared" ref="V36:V45" si="53">IF(U36=0,"",U36+0.021)</f>
        <v>9:30</v>
      </c>
      <c r="W36" s="28"/>
      <c r="X36" s="28"/>
      <c r="Y36" s="22" t="str">
        <f t="shared" si="35"/>
        <v>5.0</v>
      </c>
      <c r="Z36" s="22" t="str">
        <f t="shared" ref="Z36:AC36" si="52">$P36</f>
        <v>8.0</v>
      </c>
      <c r="AA36" s="22" t="str">
        <f t="shared" si="52"/>
        <v>8.0</v>
      </c>
      <c r="AB36" s="22" t="str">
        <f t="shared" si="52"/>
        <v>8.0</v>
      </c>
      <c r="AC36" s="22" t="str">
        <f t="shared" si="52"/>
        <v>8.0</v>
      </c>
      <c r="AD36" s="23" t="str">
        <f t="shared" si="4"/>
        <v>45</v>
      </c>
    </row>
    <row r="37" ht="15.75" customHeight="1">
      <c r="B37" s="18">
        <v>32.0</v>
      </c>
      <c r="C37" s="18" t="s">
        <v>38</v>
      </c>
      <c r="D37" s="19"/>
      <c r="E37" s="20" t="str">
        <f>Personal!G37</f>
        <v>Cristian Eduardo Xiloj Zamor</v>
      </c>
      <c r="F37" s="20" t="s">
        <v>13</v>
      </c>
      <c r="G37" s="20" t="str">
        <f>Personal!H37</f>
        <v>AGENTE RM</v>
      </c>
      <c r="H37" s="24">
        <v>0.2916666666666667</v>
      </c>
      <c r="I37" s="24" t="str">
        <f t="shared" si="49"/>
        <v>16:00</v>
      </c>
      <c r="J37" s="24">
        <v>0.5</v>
      </c>
      <c r="K37" s="24" t="str">
        <f>IF(G37="AGENTE",'Semana 1'!$J37+0.042,IF(G37="REDES",'Semana 1'!$J37+0.042,IF(G37="AGENTE RM",'Semana 1'!$J37+0.042,IF(G37="AGENTE APERTURA",'Semana 1'!$J37+0.021,IF(G37="AGENTE CIERRE",'Semana 1'!$J37+0.021," - ")))))</f>
        <v>13:00</v>
      </c>
      <c r="L37" s="24">
        <v>0.3333333333333333</v>
      </c>
      <c r="M37" s="24" t="str">
        <f>IF(G37="AGENTE",'Semana 1'!$L37+0.014,IF(G37="REDES",'Semana 1'!$L37+0.014,IF(G37="AGENTE RM",'Semana 1'!$L37+0.014,IF(G37="AGENTE APERTURA",'Semana 1'!$L37+0.014,IF(G37="AGENTE CIERRE",'Semana 1'!$L37+0.014," - ")))))</f>
        <v>8:20</v>
      </c>
      <c r="N37" s="24">
        <v>0.59375</v>
      </c>
      <c r="O37" s="24" t="str">
        <f>IF(G37="AGENTE",'Semana 1'!$N37+0.007,IF(G37="REDES",'Semana 1'!$N37+0.007,IF(G37="AGENTE RM",'Semana 1'!$N37+0.007,IF(G37="AGENTE APERTURA",'Semana 1'!$N37+0.007,IF(G37="AGENTE CIERRE",'Semana 1'!$N37+0.007," - ")))))</f>
        <v>14:25</v>
      </c>
      <c r="P37" s="25" t="str">
        <f t="shared" si="2"/>
        <v>8.0</v>
      </c>
      <c r="Q37" s="24">
        <v>0.2916666666666667</v>
      </c>
      <c r="R37" s="24" t="str">
        <f t="shared" si="50"/>
        <v>12:00</v>
      </c>
      <c r="S37" s="26"/>
      <c r="T37" s="26"/>
      <c r="U37" s="24">
        <v>0.3541666666666667</v>
      </c>
      <c r="V37" s="24" t="str">
        <f t="shared" si="53"/>
        <v>9:00</v>
      </c>
      <c r="W37" s="26"/>
      <c r="X37" s="26"/>
      <c r="Y37" s="25" t="str">
        <f t="shared" si="35"/>
        <v>5.0</v>
      </c>
      <c r="Z37" s="25" t="str">
        <f t="shared" ref="Z37:AC37" si="54">$P37</f>
        <v>8.0</v>
      </c>
      <c r="AA37" s="25" t="str">
        <f t="shared" si="54"/>
        <v>8.0</v>
      </c>
      <c r="AB37" s="25" t="str">
        <f t="shared" si="54"/>
        <v>8.0</v>
      </c>
      <c r="AC37" s="25" t="str">
        <f t="shared" si="54"/>
        <v>8.0</v>
      </c>
      <c r="AD37" s="27" t="str">
        <f t="shared" si="4"/>
        <v>45</v>
      </c>
    </row>
    <row r="38" ht="15.75" customHeight="1">
      <c r="B38" s="18">
        <v>33.0</v>
      </c>
      <c r="C38" s="18" t="s">
        <v>39</v>
      </c>
      <c r="D38" s="19"/>
      <c r="E38" s="20" t="str">
        <f>Personal!G38</f>
        <v>-</v>
      </c>
      <c r="F38" s="20" t="s">
        <v>13</v>
      </c>
      <c r="G38" s="20" t="str">
        <f>Personal!H38</f>
        <v>-</v>
      </c>
      <c r="H38" s="21"/>
      <c r="I38" s="21" t="str">
        <f t="shared" si="49"/>
        <v> </v>
      </c>
      <c r="J38" s="21"/>
      <c r="K38" s="21" t="str">
        <f>IF(G38="AGENTE",'Semana 1'!$J38+0.042,IF(G38="REDES",'Semana 1'!$J38+0.042,IF(G38="AGENTE RM",'Semana 1'!$J38+0.042,IF(G38="AGENTE APERTURA",'Semana 1'!$J38+0.021,IF(G38="AGENTE CIERRE",'Semana 1'!$J38+0.021," - ")))))</f>
        <v> - </v>
      </c>
      <c r="L38" s="21"/>
      <c r="M38" s="21" t="str">
        <f>IF(G38="AGENTE",'Semana 1'!$L38+0.014,IF(G38="REDES",'Semana 1'!$L38+0.014,IF(G38="AGENTE RM",'Semana 1'!$L38+0.014,IF(G38="AGENTE APERTURA",'Semana 1'!$L38+0.014,IF(G38="AGENTE CIERRE",'Semana 1'!$L38+0.014," - ")))))</f>
        <v> - </v>
      </c>
      <c r="N38" s="21"/>
      <c r="O38" s="21" t="str">
        <f>IF(G38="AGENTE",'Semana 1'!$N38+0.007,IF(G38="REDES",'Semana 1'!$N38+0.007,IF(G38="AGENTE RM",'Semana 1'!$N38+0.007,IF(G38="AGENTE APERTURA",'Semana 1'!$N38+0.007,IF(G38="AGENTE CIERRE",'Semana 1'!$N38+0.007," - ")))))</f>
        <v> - </v>
      </c>
      <c r="P38" s="22" t="str">
        <f t="shared" si="2"/>
        <v>-1.0</v>
      </c>
      <c r="Q38" s="21"/>
      <c r="R38" s="21" t="str">
        <f t="shared" si="50"/>
        <v/>
      </c>
      <c r="S38" s="21"/>
      <c r="T38" s="21"/>
      <c r="U38" s="21"/>
      <c r="V38" s="21" t="str">
        <f t="shared" si="53"/>
        <v/>
      </c>
      <c r="W38" s="21"/>
      <c r="X38" s="21"/>
      <c r="Y38" s="22" t="str">
        <f t="shared" si="35"/>
        <v>0.0</v>
      </c>
      <c r="Z38" s="22" t="str">
        <f t="shared" ref="Z38:AC38" si="55">$P38</f>
        <v>-1.0</v>
      </c>
      <c r="AA38" s="22" t="str">
        <f t="shared" si="55"/>
        <v>-1.0</v>
      </c>
      <c r="AB38" s="22" t="str">
        <f t="shared" si="55"/>
        <v>-1.0</v>
      </c>
      <c r="AC38" s="22" t="str">
        <f t="shared" si="55"/>
        <v>-1.0</v>
      </c>
      <c r="AD38" s="23" t="str">
        <f t="shared" si="4"/>
        <v>-5</v>
      </c>
    </row>
    <row r="39" ht="15.75" customHeight="1">
      <c r="B39" s="18">
        <v>34.0</v>
      </c>
      <c r="C39" s="18" t="s">
        <v>38</v>
      </c>
      <c r="D39" s="19"/>
      <c r="E39" s="20" t="str">
        <f>Personal!G39</f>
        <v>Diego Leonardo Patzan Patzan</v>
      </c>
      <c r="F39" s="20" t="s">
        <v>13</v>
      </c>
      <c r="G39" s="20" t="str">
        <f>Personal!H39</f>
        <v>AGENTE</v>
      </c>
      <c r="H39" s="24">
        <v>0.3333333333333333</v>
      </c>
      <c r="I39" s="24">
        <v>0.6875</v>
      </c>
      <c r="J39" s="24">
        <v>0.5</v>
      </c>
      <c r="K39" s="24" t="str">
        <f>IF(G39="AGENTE",'Semana 1'!$J39+0.042,IF(G39="REDES",'Semana 1'!$J39+0.042,IF(G39="AGENTE RM",'Semana 1'!$J39+0.042,IF(G39="AGENTE APERTURA",'Semana 1'!$J39+0.021,IF(G39="AGENTE CIERRE",'Semana 1'!$J39+0.021," - ")))))</f>
        <v>13:00</v>
      </c>
      <c r="L39" s="24">
        <v>0.3541666666666667</v>
      </c>
      <c r="M39" s="24" t="str">
        <f>IF(G39="AGENTE",'Semana 1'!$L39+0.014,IF(G39="REDES",'Semana 1'!$L39+0.014,IF(G39="AGENTE RM",'Semana 1'!$L39+0.014,IF(G39="AGENTE APERTURA",'Semana 1'!$L39+0.014,IF(G39="AGENTE CIERRE",'Semana 1'!$L39+0.014," - ")))))</f>
        <v>8:50</v>
      </c>
      <c r="N39" s="24">
        <v>0.14583333333333334</v>
      </c>
      <c r="O39" s="24" t="str">
        <f>IF(G39="AGENTE",'Semana 1'!$N39+0.007,IF(G39="REDES",'Semana 1'!$N39+0.007,IF(G39="AGENTE RM",'Semana 1'!$N39+0.007,IF(G39="AGENTE APERTURA",'Semana 1'!$N39+0.007,IF(G39="AGENTE CIERRE",'Semana 1'!$N39+0.007," - ")))))</f>
        <v>3:40</v>
      </c>
      <c r="P39" s="25" t="str">
        <f t="shared" si="2"/>
        <v>7.5</v>
      </c>
      <c r="Q39" s="24">
        <v>0.3541666666666667</v>
      </c>
      <c r="R39" s="24">
        <v>0.6666666666666666</v>
      </c>
      <c r="S39" s="26"/>
      <c r="T39" s="26"/>
      <c r="U39" s="24">
        <v>0.5416666666666666</v>
      </c>
      <c r="V39" s="24" t="str">
        <f t="shared" si="53"/>
        <v>13:30</v>
      </c>
      <c r="W39" s="26"/>
      <c r="X39" s="26"/>
      <c r="Y39" s="25" t="str">
        <f t="shared" si="35"/>
        <v>7.5</v>
      </c>
      <c r="Z39" s="25" t="str">
        <f t="shared" ref="Z39:AC39" si="56">$P39</f>
        <v>7.5</v>
      </c>
      <c r="AA39" s="25" t="str">
        <f t="shared" si="56"/>
        <v>7.5</v>
      </c>
      <c r="AB39" s="25" t="str">
        <f t="shared" si="56"/>
        <v>7.5</v>
      </c>
      <c r="AC39" s="25" t="str">
        <f t="shared" si="56"/>
        <v>7.5</v>
      </c>
      <c r="AD39" s="27" t="str">
        <f t="shared" si="4"/>
        <v>45</v>
      </c>
    </row>
    <row r="40" ht="15.75" customHeight="1">
      <c r="B40" s="18">
        <v>35.0</v>
      </c>
      <c r="C40" s="18" t="s">
        <v>38</v>
      </c>
      <c r="D40" s="19"/>
      <c r="E40" s="20" t="str">
        <f>Personal!G40</f>
        <v>Erick Gabriel Velasquez Marroquin</v>
      </c>
      <c r="F40" s="20" t="s">
        <v>13</v>
      </c>
      <c r="G40" s="20" t="str">
        <f>Personal!H40</f>
        <v>AGENTE</v>
      </c>
      <c r="H40" s="21">
        <v>0.375</v>
      </c>
      <c r="I40" s="21" t="str">
        <f t="shared" ref="I40:I53" si="58">IF(H40=0," ",IF(Q40=0,(H40+0.417),(H40+0.3756)))</f>
        <v>18:00</v>
      </c>
      <c r="J40" s="21">
        <v>0.5416666666666666</v>
      </c>
      <c r="K40" s="21" t="str">
        <f>IF(G40="AGENTE",'Semana 1'!$J40+0.042,IF(G40="REDES",'Semana 1'!$J40+0.042,IF(G40="AGENTE RM",'Semana 1'!$J40+0.042,IF(G40="AGENTE APERTURA",'Semana 1'!$J40+0.021,IF(G40="AGENTE CIERRE",'Semana 1'!$J40+0.021," - ")))))</f>
        <v>14:00</v>
      </c>
      <c r="L40" s="21">
        <v>0.2916666666666667</v>
      </c>
      <c r="M40" s="21" t="str">
        <f>IF(G40="AGENTE",'Semana 1'!$L40+0.014,IF(G40="REDES",'Semana 1'!$L40+0.014,IF(G40="AGENTE RM",'Semana 1'!$L40+0.014,IF(G40="AGENTE APERTURA",'Semana 1'!$L40+0.014,IF(G40="AGENTE CIERRE",'Semana 1'!$L40+0.014," - ")))))</f>
        <v>7:20</v>
      </c>
      <c r="N40" s="21">
        <v>0.6770833333333334</v>
      </c>
      <c r="O40" s="21" t="str">
        <f>IF(G40="AGENTE",'Semana 1'!$N40+0.007,IF(G40="REDES",'Semana 1'!$N40+0.007,IF(G40="AGENTE RM",'Semana 1'!$N40+0.007,IF(G40="AGENTE APERTURA",'Semana 1'!$N40+0.007,IF(G40="AGENTE CIERRE",'Semana 1'!$N40+0.007," - ")))))</f>
        <v>16:25</v>
      </c>
      <c r="P40" s="22" t="str">
        <f t="shared" si="2"/>
        <v>8.0</v>
      </c>
      <c r="Q40" s="21">
        <v>0.375</v>
      </c>
      <c r="R40" s="21" t="str">
        <f t="shared" ref="R40:R53" si="59">IF(Q40=0,"",Q40+0.209)</f>
        <v>14:00</v>
      </c>
      <c r="S40" s="28"/>
      <c r="T40" s="28" t="str">
        <f>IF(S40=0,"",S40+0.041)</f>
        <v/>
      </c>
      <c r="U40" s="21">
        <v>0.5625</v>
      </c>
      <c r="V40" s="21" t="str">
        <f t="shared" si="53"/>
        <v>14:00</v>
      </c>
      <c r="W40" s="28"/>
      <c r="X40" s="28" t="str">
        <f>IF(W40=0,"",W40+0.01)</f>
        <v/>
      </c>
      <c r="Y40" s="22" t="str">
        <f t="shared" si="35"/>
        <v>5.0</v>
      </c>
      <c r="Z40" s="22" t="str">
        <f t="shared" ref="Z40:AC40" si="57">$P40</f>
        <v>8.0</v>
      </c>
      <c r="AA40" s="22" t="str">
        <f t="shared" si="57"/>
        <v>8.0</v>
      </c>
      <c r="AB40" s="22" t="str">
        <f t="shared" si="57"/>
        <v>8.0</v>
      </c>
      <c r="AC40" s="22" t="str">
        <f t="shared" si="57"/>
        <v>8.0</v>
      </c>
      <c r="AD40" s="23" t="str">
        <f t="shared" si="4"/>
        <v>45</v>
      </c>
    </row>
    <row r="41" ht="15.75" customHeight="1">
      <c r="B41" s="18">
        <v>36.0</v>
      </c>
      <c r="C41" s="18" t="s">
        <v>38</v>
      </c>
      <c r="D41" s="19"/>
      <c r="E41" s="20" t="str">
        <f>Personal!G41</f>
        <v>Catherine Patricia Castillo Monzon </v>
      </c>
      <c r="F41" s="20" t="s">
        <v>13</v>
      </c>
      <c r="G41" s="20" t="str">
        <f>Personal!H41</f>
        <v>AGENTE</v>
      </c>
      <c r="H41" s="24">
        <v>0.3333333333333333</v>
      </c>
      <c r="I41" s="24" t="str">
        <f t="shared" si="58"/>
        <v>17:00</v>
      </c>
      <c r="J41" s="24">
        <v>0.5416666666666666</v>
      </c>
      <c r="K41" s="24" t="str">
        <f>IF(G41="AGENTE",'Semana 1'!$J41+0.042,IF(G41="REDES",'Semana 1'!$J41+0.042,IF(G41="AGENTE RM",'Semana 1'!$J41+0.042,IF(G41="AGENTE APERTURA",'Semana 1'!$J41+0.021,IF(G41="AGENTE CIERRE",'Semana 1'!$J41+0.021," - ")))))</f>
        <v>14:00</v>
      </c>
      <c r="L41" s="24">
        <v>0.3958333333333333</v>
      </c>
      <c r="M41" s="24" t="str">
        <f>IF(G41="AGENTE",'Semana 1'!$L41+0.014,IF(G41="REDES",'Semana 1'!$L41+0.014,IF(G41="AGENTE RM",'Semana 1'!$L41+0.014,IF(G41="AGENTE APERTURA",'Semana 1'!$L41+0.014,IF(G41="AGENTE CIERRE",'Semana 1'!$L41+0.014," - ")))))</f>
        <v>9:50</v>
      </c>
      <c r="N41" s="24">
        <v>0.6979166666666666</v>
      </c>
      <c r="O41" s="24" t="str">
        <f>IF(G41="AGENTE",'Semana 1'!$N41+0.007,IF(G41="REDES",'Semana 1'!$N41+0.007,IF(G41="AGENTE RM",'Semana 1'!$N41+0.007,IF(G41="AGENTE APERTURA",'Semana 1'!$N41+0.007,IF(G41="AGENTE CIERRE",'Semana 1'!$N41+0.007," - ")))))</f>
        <v>16:55</v>
      </c>
      <c r="P41" s="25" t="str">
        <f t="shared" si="2"/>
        <v>8.0</v>
      </c>
      <c r="Q41" s="24">
        <v>0.3333333333333333</v>
      </c>
      <c r="R41" s="24" t="str">
        <f t="shared" si="59"/>
        <v>13:00</v>
      </c>
      <c r="S41" s="26"/>
      <c r="T41" s="26"/>
      <c r="U41" s="24">
        <v>0.4375</v>
      </c>
      <c r="V41" s="24" t="str">
        <f t="shared" si="53"/>
        <v>11:00</v>
      </c>
      <c r="W41" s="26"/>
      <c r="X41" s="26"/>
      <c r="Y41" s="25" t="str">
        <f t="shared" si="35"/>
        <v>5.0</v>
      </c>
      <c r="Z41" s="25" t="str">
        <f t="shared" ref="Z41:AC41" si="60">$P41</f>
        <v>8.0</v>
      </c>
      <c r="AA41" s="25" t="str">
        <f t="shared" si="60"/>
        <v>8.0</v>
      </c>
      <c r="AB41" s="25" t="str">
        <f t="shared" si="60"/>
        <v>8.0</v>
      </c>
      <c r="AC41" s="25" t="str">
        <f t="shared" si="60"/>
        <v>8.0</v>
      </c>
      <c r="AD41" s="27" t="str">
        <f t="shared" si="4"/>
        <v>45</v>
      </c>
    </row>
    <row r="42" ht="15.75" customHeight="1">
      <c r="B42" s="18">
        <v>37.0</v>
      </c>
      <c r="C42" s="18" t="s">
        <v>38</v>
      </c>
      <c r="D42" s="19"/>
      <c r="E42" s="20" t="str">
        <f>Personal!G42</f>
        <v>Yandira Yaneth Balcarcel Perez</v>
      </c>
      <c r="F42" s="20" t="s">
        <v>13</v>
      </c>
      <c r="G42" s="20" t="str">
        <f>Personal!H42</f>
        <v>CONTROL</v>
      </c>
      <c r="H42" s="21"/>
      <c r="I42" s="21" t="str">
        <f t="shared" si="58"/>
        <v> </v>
      </c>
      <c r="J42" s="21"/>
      <c r="K42" s="21" t="str">
        <f>IF(G42="AGENTE",'Semana 1'!$J42+0.042,IF(G42="REDES",'Semana 1'!$J42+0.042,IF(G42="AGENTE RM",'Semana 1'!$J42+0.042,IF(G42="AGENTE APERTURA",'Semana 1'!$J42+0.021,IF(G42="AGENTE CIERRE",'Semana 1'!$J42+0.021," - ")))))</f>
        <v> - </v>
      </c>
      <c r="L42" s="21"/>
      <c r="M42" s="21" t="str">
        <f>IF(G42="AGENTE",'Semana 1'!$L42+0.014,IF(G42="REDES",'Semana 1'!$L42+0.014,IF(G42="AGENTE RM",'Semana 1'!$L42+0.014,IF(G42="AGENTE APERTURA",'Semana 1'!$L42+0.014,IF(G42="AGENTE CIERRE",'Semana 1'!$L42+0.014," - ")))))</f>
        <v> - </v>
      </c>
      <c r="N42" s="21"/>
      <c r="O42" s="21" t="str">
        <f>IF(G42="AGENTE",'Semana 1'!$N42+0.007,IF(G42="REDES",'Semana 1'!$N42+0.007,IF(G42="AGENTE RM",'Semana 1'!$N42+0.007,IF(G42="AGENTE APERTURA",'Semana 1'!$N42+0.007,IF(G42="AGENTE CIERRE",'Semana 1'!$N42+0.007," - ")))))</f>
        <v> - </v>
      </c>
      <c r="P42" s="22" t="str">
        <f t="shared" si="2"/>
        <v>-1.0</v>
      </c>
      <c r="Q42" s="21"/>
      <c r="R42" s="21" t="str">
        <f t="shared" si="59"/>
        <v/>
      </c>
      <c r="S42" s="28"/>
      <c r="T42" s="28"/>
      <c r="U42" s="21"/>
      <c r="V42" s="21" t="str">
        <f t="shared" si="53"/>
        <v/>
      </c>
      <c r="W42" s="28"/>
      <c r="X42" s="28"/>
      <c r="Y42" s="22" t="str">
        <f t="shared" si="35"/>
        <v>0.0</v>
      </c>
      <c r="Z42" s="22" t="str">
        <f t="shared" ref="Z42:AC42" si="61">$P42</f>
        <v>-1.0</v>
      </c>
      <c r="AA42" s="22" t="str">
        <f t="shared" si="61"/>
        <v>-1.0</v>
      </c>
      <c r="AB42" s="22" t="str">
        <f t="shared" si="61"/>
        <v>-1.0</v>
      </c>
      <c r="AC42" s="22" t="str">
        <f t="shared" si="61"/>
        <v>-1.0</v>
      </c>
      <c r="AD42" s="23" t="str">
        <f t="shared" si="4"/>
        <v>-5</v>
      </c>
    </row>
    <row r="43" ht="15.75" customHeight="1">
      <c r="B43" s="18">
        <v>38.0</v>
      </c>
      <c r="C43" s="18" t="s">
        <v>38</v>
      </c>
      <c r="D43" s="19"/>
      <c r="E43" s="20" t="str">
        <f>Personal!G43</f>
        <v>Laura Lucia Rabanales Oliva</v>
      </c>
      <c r="F43" s="20" t="s">
        <v>13</v>
      </c>
      <c r="G43" s="20" t="str">
        <f>Personal!H43</f>
        <v>AGENTE RM</v>
      </c>
      <c r="H43" s="24">
        <v>0.2708333333333333</v>
      </c>
      <c r="I43" s="24" t="str">
        <f t="shared" si="58"/>
        <v>15:30</v>
      </c>
      <c r="J43" s="24">
        <v>0.5</v>
      </c>
      <c r="K43" s="24" t="str">
        <f>IF(G43="AGENTE",'Semana 1'!$J43+0.042,IF(G43="REDES",'Semana 1'!$J43+0.042,IF(G43="AGENTE RM",'Semana 1'!$J43+0.042,IF(G43="AGENTE APERTURA",'Semana 1'!$J43+0.021,IF(G43="AGENTE CIERRE",'Semana 1'!$J43+0.021," - ")))))</f>
        <v>13:00</v>
      </c>
      <c r="L43" s="24">
        <v>0.3611111111111111</v>
      </c>
      <c r="M43" s="24" t="str">
        <f>IF(G43="AGENTE",'Semana 1'!$L43+0.014,IF(G43="REDES",'Semana 1'!$L43+0.014,IF(G43="AGENTE RM",'Semana 1'!$L43+0.014,IF(G43="AGENTE APERTURA",'Semana 1'!$L43+0.014,IF(G43="AGENTE CIERRE",'Semana 1'!$L43+0.014," - ")))))</f>
        <v>9:00</v>
      </c>
      <c r="N43" s="24">
        <v>0.5833333333333334</v>
      </c>
      <c r="O43" s="24" t="str">
        <f>IF(G43="AGENTE",'Semana 1'!$N43+0.007,IF(G43="REDES",'Semana 1'!$N43+0.007,IF(G43="AGENTE RM",'Semana 1'!$N43+0.007,IF(G43="AGENTE APERTURA",'Semana 1'!$N43+0.007,IF(G43="AGENTE CIERRE",'Semana 1'!$N43+0.007," - ")))))</f>
        <v>14:10</v>
      </c>
      <c r="P43" s="25" t="str">
        <f t="shared" si="2"/>
        <v>8.0</v>
      </c>
      <c r="Q43" s="24">
        <v>0.2708333333333333</v>
      </c>
      <c r="R43" s="24" t="str">
        <f t="shared" si="59"/>
        <v>11:30</v>
      </c>
      <c r="S43" s="26"/>
      <c r="T43" s="26"/>
      <c r="U43" s="24">
        <v>0.3333333333333333</v>
      </c>
      <c r="V43" s="24" t="str">
        <f t="shared" si="53"/>
        <v>8:30</v>
      </c>
      <c r="W43" s="26"/>
      <c r="X43" s="26"/>
      <c r="Y43" s="25" t="str">
        <f t="shared" si="35"/>
        <v>5.0</v>
      </c>
      <c r="Z43" s="25" t="str">
        <f t="shared" ref="Z43:AC43" si="62">$P43</f>
        <v>8.0</v>
      </c>
      <c r="AA43" s="25" t="str">
        <f t="shared" si="62"/>
        <v>8.0</v>
      </c>
      <c r="AB43" s="25" t="str">
        <f t="shared" si="62"/>
        <v>8.0</v>
      </c>
      <c r="AC43" s="25" t="str">
        <f t="shared" si="62"/>
        <v>8.0</v>
      </c>
      <c r="AD43" s="27" t="str">
        <f t="shared" si="4"/>
        <v>45</v>
      </c>
    </row>
    <row r="44" ht="15.75" customHeight="1">
      <c r="B44" s="18">
        <v>41.0</v>
      </c>
      <c r="C44" s="18" t="s">
        <v>38</v>
      </c>
      <c r="D44" s="19"/>
      <c r="E44" s="20" t="str">
        <f>Personal!G44</f>
        <v>Lilian Josefina Ramirez Estrada</v>
      </c>
      <c r="F44" s="20" t="s">
        <v>13</v>
      </c>
      <c r="G44" s="20" t="str">
        <f>Personal!H44</f>
        <v>SUPERVISORA</v>
      </c>
      <c r="H44" s="21"/>
      <c r="I44" s="21" t="str">
        <f t="shared" si="58"/>
        <v> </v>
      </c>
      <c r="J44" s="21"/>
      <c r="K44" s="21" t="str">
        <f>IF(G44="AGENTE",'Semana 1'!$J44+0.042,IF(G44="REDES",'Semana 1'!$J44+0.042,IF(G44="AGENTE RM",'Semana 1'!$J44+0.042,IF(G44="AGENTE APERTURA",'Semana 1'!$J44+0.021,IF(G44="AGENTE CIERRE",'Semana 1'!$J44+0.021," - ")))))</f>
        <v> - </v>
      </c>
      <c r="L44" s="21"/>
      <c r="M44" s="21" t="str">
        <f>IF(G44="AGENTE",'Semana 1'!$L44+0.014,IF(G44="REDES",'Semana 1'!$L44+0.014,IF(G44="AGENTE RM",'Semana 1'!$L44+0.014,IF(G44="AGENTE APERTURA",'Semana 1'!$L44+0.014,IF(G44="AGENTE CIERRE",'Semana 1'!$L44+0.014," - ")))))</f>
        <v> - </v>
      </c>
      <c r="N44" s="21"/>
      <c r="O44" s="21" t="str">
        <f>IF(G44="AGENTE",'Semana 1'!$N44+0.007,IF(G44="REDES",'Semana 1'!$N44+0.007,IF(G44="AGENTE RM",'Semana 1'!$N44+0.007,IF(G44="AGENTE APERTURA",'Semana 1'!$N44+0.007,IF(G44="AGENTE CIERRE",'Semana 1'!$N44+0.007," - ")))))</f>
        <v> - </v>
      </c>
      <c r="P44" s="22" t="str">
        <f t="shared" si="2"/>
        <v>-1.0</v>
      </c>
      <c r="Q44" s="21"/>
      <c r="R44" s="21" t="str">
        <f t="shared" si="59"/>
        <v/>
      </c>
      <c r="S44" s="21"/>
      <c r="T44" s="21"/>
      <c r="U44" s="21"/>
      <c r="V44" s="21" t="str">
        <f t="shared" si="53"/>
        <v/>
      </c>
      <c r="W44" s="21"/>
      <c r="X44" s="21"/>
      <c r="Y44" s="22" t="str">
        <f t="shared" si="35"/>
        <v>0.0</v>
      </c>
      <c r="Z44" s="22" t="str">
        <f t="shared" ref="Z44:AC44" si="63">$P44</f>
        <v>-1.0</v>
      </c>
      <c r="AA44" s="22" t="str">
        <f t="shared" si="63"/>
        <v>-1.0</v>
      </c>
      <c r="AB44" s="22" t="str">
        <f t="shared" si="63"/>
        <v>-1.0</v>
      </c>
      <c r="AC44" s="22" t="str">
        <f t="shared" si="63"/>
        <v>-1.0</v>
      </c>
      <c r="AD44" s="23" t="str">
        <f t="shared" si="4"/>
        <v>-5</v>
      </c>
    </row>
    <row r="45" ht="15.75" customHeight="1">
      <c r="B45" s="18">
        <v>42.0</v>
      </c>
      <c r="C45" s="18" t="s">
        <v>38</v>
      </c>
      <c r="D45" s="19"/>
      <c r="E45" s="20" t="str">
        <f>Personal!G45</f>
        <v>Wilson Saúl Gómez Mendoza</v>
      </c>
      <c r="F45" s="20" t="s">
        <v>13</v>
      </c>
      <c r="G45" s="20" t="str">
        <f>Personal!H45</f>
        <v>CONTROL</v>
      </c>
      <c r="H45" s="24"/>
      <c r="I45" s="24" t="str">
        <f t="shared" si="58"/>
        <v> </v>
      </c>
      <c r="J45" s="24"/>
      <c r="K45" s="24" t="str">
        <f>IF(G45="AGENTE",'Semana 1'!$J45+0.042,IF(G45="REDES",'Semana 1'!$J45+0.042,IF(G45="AGENTE RM",'Semana 1'!$J45+0.042,IF(G45="AGENTE APERTURA",'Semana 1'!$J45+0.021,IF(G45="AGENTE CIERRE",'Semana 1'!$J45+0.021," - ")))))</f>
        <v> - </v>
      </c>
      <c r="L45" s="24"/>
      <c r="M45" s="24" t="str">
        <f>IF(G45="AGENTE",'Semana 1'!$L45+0.014,IF(G45="REDES",'Semana 1'!$L45+0.014,IF(G45="AGENTE RM",'Semana 1'!$L45+0.014,IF(G45="AGENTE APERTURA",'Semana 1'!$L45+0.014,IF(G45="AGENTE CIERRE",'Semana 1'!$L45+0.014," - ")))))</f>
        <v> - </v>
      </c>
      <c r="N45" s="24"/>
      <c r="O45" s="24" t="str">
        <f>IF(G45="AGENTE",'Semana 1'!$N45+0.007,IF(G45="REDES",'Semana 1'!$N45+0.007,IF(G45="AGENTE RM",'Semana 1'!$N45+0.007,IF(G45="AGENTE APERTURA",'Semana 1'!$N45+0.007,IF(G45="AGENTE CIERRE",'Semana 1'!$N45+0.007," - ")))))</f>
        <v> - </v>
      </c>
      <c r="P45" s="25" t="str">
        <f t="shared" si="2"/>
        <v>-1.0</v>
      </c>
      <c r="Q45" s="24"/>
      <c r="R45" s="24" t="str">
        <f t="shared" si="59"/>
        <v/>
      </c>
      <c r="S45" s="26"/>
      <c r="T45" s="26"/>
      <c r="U45" s="24"/>
      <c r="V45" s="24" t="str">
        <f t="shared" si="53"/>
        <v/>
      </c>
      <c r="W45" s="26"/>
      <c r="X45" s="26"/>
      <c r="Y45" s="25" t="str">
        <f t="shared" si="35"/>
        <v>0.0</v>
      </c>
      <c r="Z45" s="25" t="str">
        <f t="shared" ref="Z45:AC45" si="64">$P45</f>
        <v>-1.0</v>
      </c>
      <c r="AA45" s="25" t="str">
        <f t="shared" si="64"/>
        <v>-1.0</v>
      </c>
      <c r="AB45" s="25" t="str">
        <f t="shared" si="64"/>
        <v>-1.0</v>
      </c>
      <c r="AC45" s="25" t="str">
        <f t="shared" si="64"/>
        <v>-1.0</v>
      </c>
      <c r="AD45" s="27" t="str">
        <f t="shared" si="4"/>
        <v>-5</v>
      </c>
    </row>
    <row r="46" ht="15.75" customHeight="1">
      <c r="B46" s="18">
        <v>43.0</v>
      </c>
      <c r="C46" s="18" t="s">
        <v>38</v>
      </c>
      <c r="D46" s="19"/>
      <c r="E46" s="20" t="str">
        <f>Personal!G46</f>
        <v>Carmen Yanira Brán Oliva</v>
      </c>
      <c r="F46" s="20" t="s">
        <v>13</v>
      </c>
      <c r="G46" s="20" t="str">
        <f>Personal!H46</f>
        <v>CAPACITACION</v>
      </c>
      <c r="H46" s="21"/>
      <c r="I46" s="21" t="str">
        <f t="shared" si="58"/>
        <v> </v>
      </c>
      <c r="J46" s="21"/>
      <c r="K46" s="21" t="str">
        <f>IF(G46="AGENTE",'Semana 1'!$J46+0.042,IF(G46="REDES",'Semana 1'!$J46+0.042,IF(G46="AGENTE RM",'Semana 1'!$J46+0.042,IF(G46="AGENTE APERTURA",'Semana 1'!$J46+0.021,IF(G46="AGENTE CIERRE",'Semana 1'!$J46+0.021," - ")))))</f>
        <v> - </v>
      </c>
      <c r="L46" s="21"/>
      <c r="M46" s="21" t="str">
        <f>IF(G46="AGENTE",'Semana 1'!$L46+0.014,IF(G46="REDES",'Semana 1'!$L46+0.014,IF(G46="AGENTE RM",'Semana 1'!$L46+0.014,IF(G46="AGENTE APERTURA",'Semana 1'!$L46+0.014,IF(G46="AGENTE CIERRE",'Semana 1'!$L46+0.014," - ")))))</f>
        <v> - </v>
      </c>
      <c r="N46" s="21"/>
      <c r="O46" s="21" t="str">
        <f>IF(G46="AGENTE",'Semana 1'!$N46+0.007,IF(G46="REDES",'Semana 1'!$N46+0.007,IF(G46="AGENTE RM",'Semana 1'!$N46+0.007,IF(G46="AGENTE APERTURA",'Semana 1'!$N46+0.007,IF(G46="AGENTE CIERRE",'Semana 1'!$N46+0.007," - ")))))</f>
        <v> - </v>
      </c>
      <c r="P46" s="22" t="str">
        <f t="shared" si="2"/>
        <v>-1.0</v>
      </c>
      <c r="Q46" s="21"/>
      <c r="R46" s="21" t="str">
        <f t="shared" si="59"/>
        <v/>
      </c>
      <c r="S46" s="28"/>
      <c r="T46" s="28"/>
      <c r="U46" s="21"/>
      <c r="V46" s="21"/>
      <c r="W46" s="28"/>
      <c r="X46" s="28"/>
      <c r="Y46" s="22" t="str">
        <f t="shared" si="35"/>
        <v>0.0</v>
      </c>
      <c r="Z46" s="22" t="str">
        <f t="shared" ref="Z46:AC46" si="65">$P46</f>
        <v>-1.0</v>
      </c>
      <c r="AA46" s="22" t="str">
        <f t="shared" si="65"/>
        <v>-1.0</v>
      </c>
      <c r="AB46" s="22" t="str">
        <f t="shared" si="65"/>
        <v>-1.0</v>
      </c>
      <c r="AC46" s="22" t="str">
        <f t="shared" si="65"/>
        <v>-1.0</v>
      </c>
      <c r="AD46" s="23" t="str">
        <f t="shared" si="4"/>
        <v>-5</v>
      </c>
    </row>
    <row r="47" ht="15.75" customHeight="1">
      <c r="B47" s="18">
        <v>44.0</v>
      </c>
      <c r="C47" s="18" t="s">
        <v>38</v>
      </c>
      <c r="D47" s="19"/>
      <c r="E47" s="20" t="str">
        <f>Personal!G47</f>
        <v>Katherine Nicole Colmenares Véliz</v>
      </c>
      <c r="F47" s="20" t="s">
        <v>13</v>
      </c>
      <c r="G47" s="20" t="str">
        <f>Personal!H47</f>
        <v>CONTROL</v>
      </c>
      <c r="H47" s="24"/>
      <c r="I47" s="24" t="str">
        <f t="shared" si="58"/>
        <v> </v>
      </c>
      <c r="J47" s="24"/>
      <c r="K47" s="24" t="str">
        <f>IF(G47="AGENTE",'Semana 1'!$J47+0.042,IF(G47="REDES",'Semana 1'!$J47+0.042,IF(G47="AGENTE RM",'Semana 1'!$J47+0.042,IF(G47="AGENTE APERTURA",'Semana 1'!$J47+0.021,IF(G47="AGENTE CIERRE",'Semana 1'!$J47+0.021," - ")))))</f>
        <v> - </v>
      </c>
      <c r="L47" s="24"/>
      <c r="M47" s="24" t="str">
        <f>IF(G47="AGENTE",'Semana 1'!$L47+0.014,IF(G47="REDES",'Semana 1'!$L47+0.014,IF(G47="AGENTE RM",'Semana 1'!$L47+0.014,IF(G47="AGENTE APERTURA",'Semana 1'!$L47+0.014,IF(G47="AGENTE CIERRE",'Semana 1'!$L47+0.014," - ")))))</f>
        <v> - </v>
      </c>
      <c r="N47" s="24"/>
      <c r="O47" s="24" t="str">
        <f>IF(G47="AGENTE",'Semana 1'!$N47+0.007,IF(G47="REDES",'Semana 1'!$N47+0.007,IF(G47="AGENTE RM",'Semana 1'!$N47+0.007,IF(G47="AGENTE APERTURA",'Semana 1'!$N47+0.007,IF(G47="AGENTE CIERRE",'Semana 1'!$N47+0.007," - ")))))</f>
        <v> - </v>
      </c>
      <c r="P47" s="25" t="str">
        <f t="shared" si="2"/>
        <v>-1.0</v>
      </c>
      <c r="Q47" s="24"/>
      <c r="R47" s="24" t="str">
        <f t="shared" si="59"/>
        <v/>
      </c>
      <c r="S47" s="26"/>
      <c r="T47" s="26"/>
      <c r="U47" s="24"/>
      <c r="V47" s="24"/>
      <c r="W47" s="26"/>
      <c r="X47" s="26"/>
      <c r="Y47" s="25" t="str">
        <f t="shared" si="35"/>
        <v>0.0</v>
      </c>
      <c r="Z47" s="25" t="str">
        <f t="shared" ref="Z47:AC47" si="66">$P47</f>
        <v>-1.0</v>
      </c>
      <c r="AA47" s="25" t="str">
        <f t="shared" si="66"/>
        <v>-1.0</v>
      </c>
      <c r="AB47" s="25" t="str">
        <f t="shared" si="66"/>
        <v>-1.0</v>
      </c>
      <c r="AC47" s="25" t="str">
        <f t="shared" si="66"/>
        <v>-1.0</v>
      </c>
      <c r="AD47" s="27" t="str">
        <f t="shared" si="4"/>
        <v>-5</v>
      </c>
    </row>
    <row r="48" ht="15.75" customHeight="1">
      <c r="B48" s="18">
        <v>45.0</v>
      </c>
      <c r="C48" s="18" t="s">
        <v>38</v>
      </c>
      <c r="D48" s="19"/>
      <c r="E48" s="20" t="str">
        <f>Personal!G48</f>
        <v>Laptop</v>
      </c>
      <c r="F48" s="20" t="s">
        <v>13</v>
      </c>
      <c r="G48" s="20" t="str">
        <f>Personal!H48</f>
        <v>Lap</v>
      </c>
      <c r="H48" s="21"/>
      <c r="I48" s="21" t="str">
        <f t="shared" si="58"/>
        <v> </v>
      </c>
      <c r="J48" s="21"/>
      <c r="K48" s="21" t="str">
        <f>IF(G48="AGENTE",'Semana 1'!$J48+0.042,IF(G48="REDES",'Semana 1'!$J48+0.042,IF(G48="AGENTE RM",'Semana 1'!$J48+0.042,IF(G48="AGENTE APERTURA",'Semana 1'!$J48+0.021,IF(G48="AGENTE CIERRE",'Semana 1'!$J48+0.021," - ")))))</f>
        <v> - </v>
      </c>
      <c r="L48" s="21"/>
      <c r="M48" s="21" t="str">
        <f>IF(G48="AGENTE",'Semana 1'!$L48+0.014,IF(G48="REDES",'Semana 1'!$L48+0.014,IF(G48="AGENTE RM",'Semana 1'!$L48+0.014,IF(G48="AGENTE APERTURA",'Semana 1'!$L48+0.014,IF(G48="AGENTE CIERRE",'Semana 1'!$L48+0.014," - ")))))</f>
        <v> - </v>
      </c>
      <c r="N48" s="21"/>
      <c r="O48" s="21" t="str">
        <f>IF(G48="AGENTE",'Semana 1'!$N48+0.007,IF(G48="REDES",'Semana 1'!$N48+0.007,IF(G48="AGENTE RM",'Semana 1'!$N48+0.007,IF(G48="AGENTE APERTURA",'Semana 1'!$N48+0.007,IF(G48="AGENTE CIERRE",'Semana 1'!$N48+0.007," - ")))))</f>
        <v> - </v>
      </c>
      <c r="P48" s="22" t="str">
        <f t="shared" si="2"/>
        <v>-1.0</v>
      </c>
      <c r="Q48" s="21"/>
      <c r="R48" s="21" t="str">
        <f t="shared" si="59"/>
        <v/>
      </c>
      <c r="S48" s="21"/>
      <c r="T48" s="21"/>
      <c r="U48" s="21"/>
      <c r="V48" s="21" t="str">
        <f t="shared" ref="V48:V53" si="68">IF(U48=0,"",U48+0.021)</f>
        <v/>
      </c>
      <c r="W48" s="21"/>
      <c r="X48" s="21" t="str">
        <f t="shared" ref="X48:X49" si="69">IF(W48=0,"",W48+0.021)</f>
        <v/>
      </c>
      <c r="Y48" s="22" t="str">
        <f t="shared" si="35"/>
        <v>0.0</v>
      </c>
      <c r="Z48" s="22" t="str">
        <f t="shared" ref="Z48:AC48" si="67">$P48</f>
        <v>-1.0</v>
      </c>
      <c r="AA48" s="22" t="str">
        <f t="shared" si="67"/>
        <v>-1.0</v>
      </c>
      <c r="AB48" s="22" t="str">
        <f t="shared" si="67"/>
        <v>-1.0</v>
      </c>
      <c r="AC48" s="22" t="str">
        <f t="shared" si="67"/>
        <v>-1.0</v>
      </c>
      <c r="AD48" s="23" t="str">
        <f t="shared" si="4"/>
        <v>-5</v>
      </c>
    </row>
    <row r="49" ht="15.75" customHeight="1">
      <c r="B49" s="18">
        <v>46.0</v>
      </c>
      <c r="C49" s="18" t="s">
        <v>38</v>
      </c>
      <c r="D49" s="19"/>
      <c r="E49" s="20" t="str">
        <f>Personal!G49</f>
        <v>Yissa Julavy Aquino Garcia</v>
      </c>
      <c r="F49" s="20" t="s">
        <v>13</v>
      </c>
      <c r="G49" s="20" t="str">
        <f>Personal!H49</f>
        <v>AGENTE</v>
      </c>
      <c r="H49" s="24">
        <v>0.3333333333333333</v>
      </c>
      <c r="I49" s="24" t="str">
        <f t="shared" si="58"/>
        <v>17:00</v>
      </c>
      <c r="J49" s="24">
        <v>0.5</v>
      </c>
      <c r="K49" s="24" t="str">
        <f>IF(G49="AGENTE",'Semana 1'!$J49+0.042,IF(G49="REDES",'Semana 1'!$J49+0.042,IF(G49="AGENTE RM",'Semana 1'!$J49+0.042,IF(G49="AGENTE APERTURA",'Semana 1'!$J49+0.021,IF(G49="AGENTE CIERRE",'Semana 1'!$J49+0.021," - ")))))</f>
        <v>13:00</v>
      </c>
      <c r="L49" s="24">
        <v>0.3541666666666667</v>
      </c>
      <c r="M49" s="24" t="str">
        <f>IF(G49="AGENTE",'Semana 1'!$L49+0.014,IF(G49="REDES",'Semana 1'!$L49+0.014,IF(G49="AGENTE RM",'Semana 1'!$L49+0.014,IF(G49="AGENTE APERTURA",'Semana 1'!$L49+0.014,IF(G49="AGENTE CIERRE",'Semana 1'!$L49+0.014," - ")))))</f>
        <v>8:50</v>
      </c>
      <c r="N49" s="24">
        <v>0.6180555555555556</v>
      </c>
      <c r="O49" s="24" t="str">
        <f>IF(G49="AGENTE",'Semana 1'!$N49+0.007,IF(G49="REDES",'Semana 1'!$N49+0.007,IF(G49="AGENTE RM",'Semana 1'!$N49+0.007,IF(G49="AGENTE APERTURA",'Semana 1'!$N49+0.007,IF(G49="AGENTE CIERRE",'Semana 1'!$N49+0.007," - ")))))</f>
        <v>15:00</v>
      </c>
      <c r="P49" s="25" t="str">
        <f t="shared" si="2"/>
        <v>8.0</v>
      </c>
      <c r="Q49" s="24">
        <v>0.3333333333333333</v>
      </c>
      <c r="R49" s="24" t="str">
        <f t="shared" si="59"/>
        <v>13:00</v>
      </c>
      <c r="S49" s="26"/>
      <c r="T49" s="26"/>
      <c r="U49" s="24">
        <v>0.4583333333333333</v>
      </c>
      <c r="V49" s="24" t="str">
        <f t="shared" si="68"/>
        <v>11:30</v>
      </c>
      <c r="W49" s="26"/>
      <c r="X49" s="26" t="str">
        <f t="shared" si="69"/>
        <v/>
      </c>
      <c r="Y49" s="25" t="str">
        <f t="shared" si="35"/>
        <v>5.0</v>
      </c>
      <c r="Z49" s="25" t="str">
        <f t="shared" ref="Z49:AC49" si="70">$P49</f>
        <v>8.0</v>
      </c>
      <c r="AA49" s="25" t="str">
        <f t="shared" si="70"/>
        <v>8.0</v>
      </c>
      <c r="AB49" s="25" t="str">
        <f t="shared" si="70"/>
        <v>8.0</v>
      </c>
      <c r="AC49" s="25" t="str">
        <f t="shared" si="70"/>
        <v>8.0</v>
      </c>
      <c r="AD49" s="27" t="str">
        <f t="shared" si="4"/>
        <v>45</v>
      </c>
    </row>
    <row r="50" ht="15.75" customHeight="1">
      <c r="B50" s="18">
        <v>45.0</v>
      </c>
      <c r="C50" s="18" t="s">
        <v>39</v>
      </c>
      <c r="D50" s="19"/>
      <c r="E50" s="20" t="str">
        <f>Personal!G50</f>
        <v>-</v>
      </c>
      <c r="F50" s="20" t="s">
        <v>13</v>
      </c>
      <c r="G50" s="20" t="str">
        <f>Personal!H50</f>
        <v>-</v>
      </c>
      <c r="H50" s="21"/>
      <c r="I50" s="21" t="str">
        <f t="shared" si="58"/>
        <v> </v>
      </c>
      <c r="J50" s="21"/>
      <c r="K50" s="21" t="str">
        <f>IF(G50="AGENTE",'Semana 1'!$J50+0.042,IF(G50="REDES",'Semana 1'!$J50+0.042,IF(G50="AGENTE RM",'Semana 1'!$J50+0.042,IF(G50="AGENTE APERTURA",'Semana 1'!$J50+0.021,IF(G50="AGENTE CIERRE",'Semana 1'!$J50+0.021," - ")))))</f>
        <v> - </v>
      </c>
      <c r="L50" s="21"/>
      <c r="M50" s="21" t="str">
        <f>IF(G50="AGENTE",'Semana 1'!$L50+0.014,IF(G50="REDES",'Semana 1'!$L50+0.014,IF(G50="AGENTE RM",'Semana 1'!$L50+0.014,IF(G50="AGENTE APERTURA",'Semana 1'!$L50+0.014,IF(G50="AGENTE CIERRE",'Semana 1'!$L50+0.014," - ")))))</f>
        <v> - </v>
      </c>
      <c r="N50" s="21"/>
      <c r="O50" s="21" t="str">
        <f>IF(G50="AGENTE",'Semana 1'!$N50+0.007,IF(G50="REDES",'Semana 1'!$N50+0.007,IF(G50="AGENTE RM",'Semana 1'!$N50+0.007,IF(G50="AGENTE APERTURA",'Semana 1'!$N50+0.007,IF(G50="AGENTE CIERRE",'Semana 1'!$N50+0.007," - ")))))</f>
        <v> - </v>
      </c>
      <c r="P50" s="22" t="str">
        <f t="shared" si="2"/>
        <v>-1.0</v>
      </c>
      <c r="Q50" s="21"/>
      <c r="R50" s="21" t="str">
        <f t="shared" si="59"/>
        <v/>
      </c>
      <c r="S50" s="28"/>
      <c r="T50" s="28"/>
      <c r="U50" s="21"/>
      <c r="V50" s="21" t="str">
        <f t="shared" si="68"/>
        <v/>
      </c>
      <c r="W50" s="28"/>
      <c r="X50" s="28"/>
      <c r="Y50" s="22" t="str">
        <f t="shared" si="35"/>
        <v>0.0</v>
      </c>
      <c r="Z50" s="22" t="str">
        <f t="shared" ref="Z50:AC50" si="71">$P50</f>
        <v>-1.0</v>
      </c>
      <c r="AA50" s="22" t="str">
        <f t="shared" si="71"/>
        <v>-1.0</v>
      </c>
      <c r="AB50" s="22" t="str">
        <f t="shared" si="71"/>
        <v>-1.0</v>
      </c>
      <c r="AC50" s="22" t="str">
        <f t="shared" si="71"/>
        <v>-1.0</v>
      </c>
      <c r="AD50" s="23" t="str">
        <f t="shared" si="4"/>
        <v>-5</v>
      </c>
    </row>
    <row r="51" ht="15.75" customHeight="1">
      <c r="B51" s="18">
        <v>46.0</v>
      </c>
      <c r="C51" s="18" t="s">
        <v>39</v>
      </c>
      <c r="D51" s="19"/>
      <c r="E51" s="20" t="str">
        <f>Personal!G51</f>
        <v>-</v>
      </c>
      <c r="F51" s="20" t="s">
        <v>13</v>
      </c>
      <c r="G51" s="20" t="str">
        <f>Personal!H51</f>
        <v>-</v>
      </c>
      <c r="H51" s="24"/>
      <c r="I51" s="24" t="str">
        <f t="shared" si="58"/>
        <v> </v>
      </c>
      <c r="J51" s="24"/>
      <c r="K51" s="24" t="str">
        <f>IF(G51="AGENTE",'Semana 1'!$J51+0.042,IF(G51="REDES",'Semana 1'!$J51+0.042,IF(G51="AGENTE RM",'Semana 1'!$J51+0.042,IF(G51="AGENTE APERTURA",'Semana 1'!$J51+0.021,IF(G51="AGENTE CIERRE",'Semana 1'!$J51+0.021," - ")))))</f>
        <v> - </v>
      </c>
      <c r="L51" s="24"/>
      <c r="M51" s="24" t="str">
        <f>IF(G51="AGENTE",'Semana 1'!$L51+0.014,IF(G51="REDES",'Semana 1'!$L51+0.014,IF(G51="AGENTE RM",'Semana 1'!$L51+0.014,IF(G51="AGENTE APERTURA",'Semana 1'!$L51+0.014,IF(G51="AGENTE CIERRE",'Semana 1'!$L51+0.014," - ")))))</f>
        <v> - </v>
      </c>
      <c r="N51" s="24"/>
      <c r="O51" s="24" t="str">
        <f>IF(G51="AGENTE",'Semana 1'!$N51+0.007,IF(G51="REDES",'Semana 1'!$N51+0.007,IF(G51="AGENTE RM",'Semana 1'!$N51+0.007,IF(G51="AGENTE APERTURA",'Semana 1'!$N51+0.007,IF(G51="AGENTE CIERRE",'Semana 1'!$N51+0.007," - ")))))</f>
        <v> - </v>
      </c>
      <c r="P51" s="25" t="str">
        <f t="shared" si="2"/>
        <v>-1.0</v>
      </c>
      <c r="Q51" s="24"/>
      <c r="R51" s="24" t="str">
        <f t="shared" si="59"/>
        <v/>
      </c>
      <c r="S51" s="26"/>
      <c r="T51" s="26"/>
      <c r="U51" s="24"/>
      <c r="V51" s="24" t="str">
        <f t="shared" si="68"/>
        <v/>
      </c>
      <c r="W51" s="26"/>
      <c r="X51" s="26"/>
      <c r="Y51" s="25" t="str">
        <f t="shared" si="35"/>
        <v>0.0</v>
      </c>
      <c r="Z51" s="25" t="str">
        <f t="shared" ref="Z51:AC51" si="72">$P51</f>
        <v>-1.0</v>
      </c>
      <c r="AA51" s="25" t="str">
        <f t="shared" si="72"/>
        <v>-1.0</v>
      </c>
      <c r="AB51" s="25" t="str">
        <f t="shared" si="72"/>
        <v>-1.0</v>
      </c>
      <c r="AC51" s="25" t="str">
        <f t="shared" si="72"/>
        <v>-1.0</v>
      </c>
      <c r="AD51" s="27" t="str">
        <f t="shared" si="4"/>
        <v>-5</v>
      </c>
    </row>
    <row r="52" ht="15.75" customHeight="1">
      <c r="B52" s="18">
        <v>50.0</v>
      </c>
      <c r="C52" s="18" t="s">
        <v>38</v>
      </c>
      <c r="D52" s="19"/>
      <c r="E52" s="20" t="str">
        <f>Personal!G52</f>
        <v>Karla Isabel Herandez Rivas</v>
      </c>
      <c r="F52" s="20" t="s">
        <v>13</v>
      </c>
      <c r="G52" s="20" t="str">
        <f>Personal!H52</f>
        <v>SOPORTE</v>
      </c>
      <c r="H52" s="21"/>
      <c r="I52" s="21" t="str">
        <f t="shared" si="58"/>
        <v> </v>
      </c>
      <c r="J52" s="21"/>
      <c r="K52" s="21" t="str">
        <f>IF(G52="AGENTE",'Semana 1'!$J52+0.042,IF(G52="REDES",'Semana 1'!$J52+0.042,IF(G52="AGENTE RM",'Semana 1'!$J52+0.042,IF(G52="AGENTE APERTURA",'Semana 1'!$J52+0.021,IF(G52="AGENTE CIERRE",'Semana 1'!$J52+0.021," - ")))))</f>
        <v> - </v>
      </c>
      <c r="L52" s="21"/>
      <c r="M52" s="21" t="str">
        <f>IF(G52="AGENTE",'Semana 1'!$L52+0.014,IF(G52="REDES",'Semana 1'!$L52+0.014,IF(G52="AGENTE RM",'Semana 1'!$L52+0.014,IF(G52="AGENTE APERTURA",'Semana 1'!$L52+0.014,IF(G52="AGENTE CIERRE",'Semana 1'!$L52+0.014," - ")))))</f>
        <v> - </v>
      </c>
      <c r="N52" s="21"/>
      <c r="O52" s="21" t="str">
        <f>IF(G52="AGENTE",'Semana 1'!$N52+0.007,IF(G52="REDES",'Semana 1'!$N52+0.007,IF(G52="AGENTE RM",'Semana 1'!$N52+0.007,IF(G52="AGENTE APERTURA",'Semana 1'!$N52+0.007,IF(G52="AGENTE CIERRE",'Semana 1'!$N52+0.007," - ")))))</f>
        <v> - </v>
      </c>
      <c r="P52" s="22" t="str">
        <f t="shared" si="2"/>
        <v>-1.0</v>
      </c>
      <c r="Q52" s="21"/>
      <c r="R52" s="21" t="str">
        <f t="shared" si="59"/>
        <v/>
      </c>
      <c r="S52" s="28"/>
      <c r="T52" s="28"/>
      <c r="U52" s="21"/>
      <c r="V52" s="21" t="str">
        <f t="shared" si="68"/>
        <v/>
      </c>
      <c r="W52" s="28"/>
      <c r="X52" s="28"/>
      <c r="Y52" s="22" t="str">
        <f t="shared" si="35"/>
        <v>0.0</v>
      </c>
      <c r="Z52" s="22" t="str">
        <f t="shared" ref="Z52:AC52" si="73">$P52</f>
        <v>-1.0</v>
      </c>
      <c r="AA52" s="22" t="str">
        <f t="shared" si="73"/>
        <v>-1.0</v>
      </c>
      <c r="AB52" s="22" t="str">
        <f t="shared" si="73"/>
        <v>-1.0</v>
      </c>
      <c r="AC52" s="22" t="str">
        <f t="shared" si="73"/>
        <v>-1.0</v>
      </c>
      <c r="AD52" s="23" t="str">
        <f t="shared" si="4"/>
        <v>-5</v>
      </c>
    </row>
    <row r="53" ht="15.75" customHeight="1">
      <c r="B53" s="18">
        <v>51.0</v>
      </c>
      <c r="C53" s="18" t="s">
        <v>38</v>
      </c>
      <c r="D53" s="19"/>
      <c r="E53" s="20" t="str">
        <f>Personal!G53</f>
        <v>Anthony Stiven Yocute Aragon</v>
      </c>
      <c r="F53" s="20" t="s">
        <v>13</v>
      </c>
      <c r="G53" s="20" t="str">
        <f>Personal!H53</f>
        <v>AGENTE</v>
      </c>
      <c r="H53" s="24">
        <v>0.2708333333333333</v>
      </c>
      <c r="I53" s="24" t="str">
        <f t="shared" si="58"/>
        <v>15:30</v>
      </c>
      <c r="J53" s="24">
        <v>0.5416666666666666</v>
      </c>
      <c r="K53" s="24" t="str">
        <f>IF(G53="AGENTE",'Semana 1'!$J53+0.042,IF(G53="REDES",'Semana 1'!$J53+0.042,IF(G53="AGENTE RM",'Semana 1'!$J53+0.042,IF(G53="AGENTE APERTURA",'Semana 1'!$J53+0.021,IF(G53="AGENTE CIERRE",'Semana 1'!$J53+0.021," - ")))))</f>
        <v>14:00</v>
      </c>
      <c r="L53" s="24">
        <v>0.3958333333333333</v>
      </c>
      <c r="M53" s="24" t="str">
        <f>IF(G53="AGENTE",'Semana 1'!$L53+0.014,IF(G53="REDES",'Semana 1'!$L53+0.014,IF(G53="AGENTE RM",'Semana 1'!$L53+0.014,IF(G53="AGENTE APERTURA",'Semana 1'!$L53+0.014,IF(G53="AGENTE CIERRE",'Semana 1'!$L53+0.014," - ")))))</f>
        <v>9:50</v>
      </c>
      <c r="N53" s="24">
        <v>0.6041666666666666</v>
      </c>
      <c r="O53" s="24" t="str">
        <f>IF(G53="AGENTE",'Semana 1'!$N53+0.007,IF(G53="REDES",'Semana 1'!$N53+0.007,IF(G53="AGENTE RM",'Semana 1'!$N53+0.007,IF(G53="AGENTE APERTURA",'Semana 1'!$N53+0.007,IF(G53="AGENTE CIERRE",'Semana 1'!$N53+0.007," - ")))))</f>
        <v>14:40</v>
      </c>
      <c r="P53" s="25" t="str">
        <f t="shared" si="2"/>
        <v>8.0</v>
      </c>
      <c r="Q53" s="24">
        <v>0.2916666666666667</v>
      </c>
      <c r="R53" s="24" t="str">
        <f t="shared" si="59"/>
        <v>12:00</v>
      </c>
      <c r="S53" s="26"/>
      <c r="T53" s="26"/>
      <c r="U53" s="24">
        <v>0.375</v>
      </c>
      <c r="V53" s="24" t="str">
        <f t="shared" si="68"/>
        <v>9:30</v>
      </c>
      <c r="W53" s="26"/>
      <c r="X53" s="26"/>
      <c r="Y53" s="25" t="str">
        <f t="shared" si="35"/>
        <v>5.0</v>
      </c>
      <c r="Z53" s="25" t="str">
        <f t="shared" ref="Z53:AC53" si="74">$P53</f>
        <v>8.0</v>
      </c>
      <c r="AA53" s="25" t="str">
        <f t="shared" si="74"/>
        <v>8.0</v>
      </c>
      <c r="AB53" s="25" t="str">
        <f t="shared" si="74"/>
        <v>8.0</v>
      </c>
      <c r="AC53" s="25" t="str">
        <f t="shared" si="74"/>
        <v>8.0</v>
      </c>
      <c r="AD53" s="27" t="str">
        <f t="shared" si="4"/>
        <v>45</v>
      </c>
    </row>
    <row r="54" ht="15.75" customHeight="1">
      <c r="B54" s="18">
        <v>52.0</v>
      </c>
      <c r="C54" s="18" t="s">
        <v>38</v>
      </c>
      <c r="D54" s="19"/>
      <c r="E54" s="20" t="str">
        <f>Personal!G54</f>
        <v>Daylin Paulette Quiroa Quiroa</v>
      </c>
      <c r="F54" s="20" t="s">
        <v>13</v>
      </c>
      <c r="G54" s="20" t="str">
        <f>Personal!H54</f>
        <v>AGENTE CIERRE</v>
      </c>
      <c r="H54" s="21">
        <v>0.7083333333333334</v>
      </c>
      <c r="I54" s="21">
        <v>1.0</v>
      </c>
      <c r="J54" s="21">
        <v>0.8333333333333334</v>
      </c>
      <c r="K54" s="21" t="str">
        <f>IF(G54="AGENTE",'Semana 1'!$J54+0.042,IF(G54="REDES",'Semana 1'!$J54+0.042,IF(G54="AGENTE RM",'Semana 1'!$J54+0.042,IF(G54="AGENTE APERTURA",'Semana 1'!$J54+0.021,IF(G54="AGENTE CIERRE",'Semana 1'!$J54+0.021," - ")))))</f>
        <v>20:30</v>
      </c>
      <c r="L54" s="21">
        <v>0.8541666666666666</v>
      </c>
      <c r="M54" s="21" t="str">
        <f>IF(G54="AGENTE",'Semana 1'!$L54+0.014,IF(G54="REDES",'Semana 1'!$L54+0.014,IF(G54="AGENTE RM",'Semana 1'!$L54+0.014,IF(G54="AGENTE APERTURA",'Semana 1'!$L54+0.014,IF(G54="AGENTE CIERRE",'Semana 1'!$L54+0.014," - ")))))</f>
        <v>20:50</v>
      </c>
      <c r="N54" s="21">
        <v>0.8680555555555555</v>
      </c>
      <c r="O54" s="21" t="str">
        <f>IF(G54="AGENTE",'Semana 1'!$N54+0.007,IF(G54="REDES",'Semana 1'!$N54+0.007,IF(G54="AGENTE RM",'Semana 1'!$N54+0.007,IF(G54="AGENTE APERTURA",'Semana 1'!$N54+0.007,IF(G54="AGENTE CIERRE",'Semana 1'!$N54+0.007," - ")))))</f>
        <v>21:00</v>
      </c>
      <c r="P54" s="22" t="str">
        <f t="shared" si="2"/>
        <v>6.0</v>
      </c>
      <c r="Q54" s="21">
        <v>0.7083333333333334</v>
      </c>
      <c r="R54" s="21">
        <v>1.0</v>
      </c>
      <c r="S54" s="21">
        <v>0.8333333333333334</v>
      </c>
      <c r="T54" s="21">
        <v>0.8543333333333334</v>
      </c>
      <c r="U54" s="21">
        <v>0.8541666666666666</v>
      </c>
      <c r="V54" s="21">
        <v>0.8681666666666666</v>
      </c>
      <c r="W54" s="21">
        <v>0.8680555555555555</v>
      </c>
      <c r="X54" s="21">
        <v>0.8750555555555555</v>
      </c>
      <c r="Y54" s="22" t="str">
        <f>(IFERROR(R54-Q54,0)*24)-1</f>
        <v>6.0</v>
      </c>
      <c r="Z54" s="22" t="str">
        <f t="shared" ref="Z54:AC54" si="75">$P54</f>
        <v>6.0</v>
      </c>
      <c r="AA54" s="22" t="str">
        <f t="shared" si="75"/>
        <v>6.0</v>
      </c>
      <c r="AB54" s="22" t="str">
        <f t="shared" si="75"/>
        <v>6.0</v>
      </c>
      <c r="AC54" s="22" t="str">
        <f t="shared" si="75"/>
        <v>6.0</v>
      </c>
      <c r="AD54" s="23" t="str">
        <f t="shared" si="4"/>
        <v>36</v>
      </c>
    </row>
    <row r="55" ht="15.75" customHeight="1">
      <c r="B55" s="18">
        <v>53.0</v>
      </c>
      <c r="C55" s="18" t="s">
        <v>38</v>
      </c>
      <c r="D55" s="19"/>
      <c r="E55" s="20" t="str">
        <f>Personal!G55</f>
        <v>-</v>
      </c>
      <c r="F55" s="20" t="s">
        <v>13</v>
      </c>
      <c r="G55" s="20" t="s">
        <v>41</v>
      </c>
      <c r="H55" s="24"/>
      <c r="I55" s="24" t="str">
        <f t="shared" ref="I55:I64" si="77">IF(H55=0," ",IF(Q55=0,(H55+0.417),(H55+0.3756)))</f>
        <v> </v>
      </c>
      <c r="J55" s="24"/>
      <c r="K55" s="24" t="str">
        <f>IF(G55="AGENTE",'Semana 1'!$J55+0.042,IF(G55="REDES",'Semana 1'!$J55+0.042,IF(G55="AGENTE RM",'Semana 1'!$J55+0.042,IF(G55="AGENTE APERTURA",'Semana 1'!$J55+0.021,IF(G55="AGENTE CIERRE",'Semana 1'!$J55+0.021," - ")))))</f>
        <v> - </v>
      </c>
      <c r="L55" s="24"/>
      <c r="M55" s="24" t="str">
        <f>IF(G55="AGENTE",'Semana 1'!$L55+0.014,IF(G55="REDES",'Semana 1'!$L55+0.014,IF(G55="AGENTE RM",'Semana 1'!$L55+0.014,IF(G55="AGENTE APERTURA",'Semana 1'!$L55+0.014,IF(G55="AGENTE CIERRE",'Semana 1'!$L55+0.014," - ")))))</f>
        <v> - </v>
      </c>
      <c r="N55" s="24"/>
      <c r="O55" s="24" t="str">
        <f>IF(G55="AGENTE",'Semana 1'!$N55+0.007,IF(G55="REDES",'Semana 1'!$N55+0.007,IF(G55="AGENTE RM",'Semana 1'!$N55+0.007,IF(G55="AGENTE APERTURA",'Semana 1'!$N55+0.007,IF(G55="AGENTE CIERRE",'Semana 1'!$N55+0.007," - ")))))</f>
        <v> - </v>
      </c>
      <c r="P55" s="25" t="str">
        <f t="shared" si="2"/>
        <v>-1.0</v>
      </c>
      <c r="Q55" s="24"/>
      <c r="R55" s="24" t="str">
        <f t="shared" ref="R55:R63" si="78">IF(Q55=0,"",Q55+0.209)</f>
        <v/>
      </c>
      <c r="S55" s="26"/>
      <c r="T55" s="26" t="str">
        <f>IF(G55="AGENTE",'Semana 1'!$S55+0.042,IF(G55="REDES",'Semana 1'!$S55+0.042,IF(G55="AGENTE RM",'Semana 1'!$S55+0.042,IF(G55="AGENTE APERTURA",'Semana 1'!$S55+0.021,IF(G55="AGENTE CIERRE",'Semana 1'!$S55+0.021," - ")))))</f>
        <v> - </v>
      </c>
      <c r="U55" s="24"/>
      <c r="V55" s="24" t="str">
        <f t="shared" ref="V55:V64" si="79">IF(U55=0,"",U55+0.021)</f>
        <v/>
      </c>
      <c r="W55" s="26"/>
      <c r="X55" s="26"/>
      <c r="Y55" s="25" t="str">
        <f t="shared" ref="Y55:Y67" si="80">(IFERROR(R55-Q55,0)*24)</f>
        <v>0.0</v>
      </c>
      <c r="Z55" s="25" t="str">
        <f t="shared" ref="Z55:AC55" si="76">$P55</f>
        <v>-1.0</v>
      </c>
      <c r="AA55" s="25" t="str">
        <f t="shared" si="76"/>
        <v>-1.0</v>
      </c>
      <c r="AB55" s="25" t="str">
        <f t="shared" si="76"/>
        <v>-1.0</v>
      </c>
      <c r="AC55" s="25" t="str">
        <f t="shared" si="76"/>
        <v>-1.0</v>
      </c>
      <c r="AD55" s="27" t="str">
        <f t="shared" si="4"/>
        <v>-5</v>
      </c>
    </row>
    <row r="56" ht="15.75" customHeight="1">
      <c r="B56" s="18">
        <v>54.0</v>
      </c>
      <c r="C56" s="18" t="s">
        <v>38</v>
      </c>
      <c r="D56" s="19"/>
      <c r="E56" s="20" t="str">
        <f>Personal!G56</f>
        <v>Nora Azucena Sanchez Rodriguez</v>
      </c>
      <c r="F56" s="20" t="s">
        <v>13</v>
      </c>
      <c r="G56" s="20" t="str">
        <f>Personal!H56</f>
        <v>AGENTE</v>
      </c>
      <c r="H56" s="21">
        <v>0.2916666666666667</v>
      </c>
      <c r="I56" s="21" t="str">
        <f t="shared" si="77"/>
        <v>16:00</v>
      </c>
      <c r="J56" s="21">
        <v>0.5208333333333334</v>
      </c>
      <c r="K56" s="21" t="str">
        <f>IF(G56="AGENTE",'Semana 1'!$J56+0.042,IF(G56="REDES",'Semana 1'!$J56+0.042,IF(G56="AGENTE RM",'Semana 1'!$J56+0.042,IF(G56="AGENTE APERTURA",'Semana 1'!$J56+0.021,IF(G56="AGENTE CIERRE",'Semana 1'!$J56+0.021," - ")))))</f>
        <v>13:30</v>
      </c>
      <c r="L56" s="21">
        <v>0.3541666666666667</v>
      </c>
      <c r="M56" s="21" t="str">
        <f>IF(G56="AGENTE",'Semana 1'!$L56+0.014,IF(G56="REDES",'Semana 1'!$L56+0.014,IF(G56="AGENTE RM",'Semana 1'!$L56+0.014,IF(G56="AGENTE APERTURA",'Semana 1'!$L56+0.014,IF(G56="AGENTE CIERRE",'Semana 1'!$L56+0.014," - ")))))</f>
        <v>8:50</v>
      </c>
      <c r="N56" s="21">
        <v>0.65625</v>
      </c>
      <c r="O56" s="21" t="str">
        <f>IF(G56="AGENTE",'Semana 1'!$N56+0.007,IF(G56="REDES",'Semana 1'!$N56+0.007,IF(G56="AGENTE RM",'Semana 1'!$N56+0.007,IF(G56="AGENTE APERTURA",'Semana 1'!$N56+0.007,IF(G56="AGENTE CIERRE",'Semana 1'!$N56+0.007," - ")))))</f>
        <v>15:55</v>
      </c>
      <c r="P56" s="22" t="str">
        <f t="shared" si="2"/>
        <v>8.0</v>
      </c>
      <c r="Q56" s="21">
        <v>0.4166666666666667</v>
      </c>
      <c r="R56" s="21" t="str">
        <f t="shared" si="78"/>
        <v>15:00</v>
      </c>
      <c r="S56" s="28"/>
      <c r="T56" s="28"/>
      <c r="U56" s="21">
        <v>0.5625</v>
      </c>
      <c r="V56" s="21" t="str">
        <f t="shared" si="79"/>
        <v>14:00</v>
      </c>
      <c r="W56" s="28"/>
      <c r="X56" s="28"/>
      <c r="Y56" s="22" t="str">
        <f t="shared" si="80"/>
        <v>5.0</v>
      </c>
      <c r="Z56" s="22" t="str">
        <f t="shared" ref="Z56:AC56" si="81">$P56</f>
        <v>8.0</v>
      </c>
      <c r="AA56" s="22" t="str">
        <f t="shared" si="81"/>
        <v>8.0</v>
      </c>
      <c r="AB56" s="22" t="str">
        <f t="shared" si="81"/>
        <v>8.0</v>
      </c>
      <c r="AC56" s="22" t="str">
        <f t="shared" si="81"/>
        <v>8.0</v>
      </c>
      <c r="AD56" s="23" t="str">
        <f t="shared" si="4"/>
        <v>45</v>
      </c>
    </row>
    <row r="57" ht="15.75" customHeight="1">
      <c r="B57" s="18">
        <v>55.0</v>
      </c>
      <c r="C57" s="18" t="s">
        <v>38</v>
      </c>
      <c r="D57" s="19"/>
      <c r="E57" s="20" t="str">
        <f>Personal!G57</f>
        <v>Dorian Estefany Sit Santos</v>
      </c>
      <c r="F57" s="20" t="s">
        <v>13</v>
      </c>
      <c r="G57" s="20" t="str">
        <f>Personal!H57</f>
        <v>AGENTE RM</v>
      </c>
      <c r="H57" s="24">
        <v>0.3541666666666667</v>
      </c>
      <c r="I57" s="24" t="str">
        <f t="shared" si="77"/>
        <v>17:30</v>
      </c>
      <c r="J57" s="24">
        <v>0.5833333333333334</v>
      </c>
      <c r="K57" s="24" t="str">
        <f>IF(G57="AGENTE",'Semana 1'!$J57+0.042,IF(G57="REDES",'Semana 1'!$J57+0.042,IF(G57="AGENTE RM",'Semana 1'!$J57+0.042,IF(G57="AGENTE APERTURA",'Semana 1'!$J57+0.021,IF(G57="AGENTE CIERRE",'Semana 1'!$J57+0.021," - ")))))</f>
        <v>15:00</v>
      </c>
      <c r="L57" s="24">
        <v>0.40277777777777773</v>
      </c>
      <c r="M57" s="24" t="str">
        <f>IF(G57="AGENTE",'Semana 1'!$L57+0.014,IF(G57="REDES",'Semana 1'!$L57+0.014,IF(G57="AGENTE RM",'Semana 1'!$L57+0.014,IF(G57="AGENTE APERTURA",'Semana 1'!$L57+0.014,IF(G57="AGENTE CIERRE",'Semana 1'!$L57+0.014," - ")))))</f>
        <v>10:00</v>
      </c>
      <c r="N57" s="24">
        <v>0.6458333333333334</v>
      </c>
      <c r="O57" s="24" t="str">
        <f>IF(G57="AGENTE",'Semana 1'!$N57+0.007,IF(G57="REDES",'Semana 1'!$N57+0.007,IF(G57="AGENTE RM",'Semana 1'!$N57+0.007,IF(G57="AGENTE APERTURA",'Semana 1'!$N57+0.007,IF(G57="AGENTE CIERRE",'Semana 1'!$N57+0.007," - ")))))</f>
        <v>15:40</v>
      </c>
      <c r="P57" s="25" t="str">
        <f t="shared" si="2"/>
        <v>8.0</v>
      </c>
      <c r="Q57" s="24">
        <v>0.3333333333333333</v>
      </c>
      <c r="R57" s="24" t="str">
        <f t="shared" si="78"/>
        <v>13:00</v>
      </c>
      <c r="S57" s="26"/>
      <c r="T57" s="26"/>
      <c r="U57" s="24">
        <v>0.375</v>
      </c>
      <c r="V57" s="24" t="str">
        <f t="shared" si="79"/>
        <v>9:30</v>
      </c>
      <c r="W57" s="26"/>
      <c r="X57" s="26"/>
      <c r="Y57" s="25" t="str">
        <f t="shared" si="80"/>
        <v>5.0</v>
      </c>
      <c r="Z57" s="25" t="str">
        <f t="shared" ref="Z57:AC57" si="82">$P57</f>
        <v>8.0</v>
      </c>
      <c r="AA57" s="25" t="str">
        <f t="shared" si="82"/>
        <v>8.0</v>
      </c>
      <c r="AB57" s="25" t="str">
        <f t="shared" si="82"/>
        <v>8.0</v>
      </c>
      <c r="AC57" s="25" t="str">
        <f t="shared" si="82"/>
        <v>8.0</v>
      </c>
      <c r="AD57" s="27" t="str">
        <f t="shared" si="4"/>
        <v>45</v>
      </c>
    </row>
    <row r="58" ht="15.75" customHeight="1">
      <c r="B58" s="18">
        <v>56.0</v>
      </c>
      <c r="C58" s="18" t="s">
        <v>38</v>
      </c>
      <c r="D58" s="19"/>
      <c r="E58" s="20" t="str">
        <f>Personal!G58</f>
        <v>Benjamin Max Israel Boc Vicente</v>
      </c>
      <c r="F58" s="20" t="s">
        <v>13</v>
      </c>
      <c r="G58" s="20" t="str">
        <f>Personal!H58</f>
        <v>AGENTE</v>
      </c>
      <c r="H58" s="21">
        <v>0.3333333333333333</v>
      </c>
      <c r="I58" s="21" t="str">
        <f t="shared" si="77"/>
        <v>17:00</v>
      </c>
      <c r="J58" s="21">
        <v>0.625</v>
      </c>
      <c r="K58" s="21" t="str">
        <f>IF(G58="AGENTE",'Semana 1'!$J58+0.042,IF(G58="REDES",'Semana 1'!$J58+0.042,IF(G58="AGENTE RM",'Semana 1'!$J58+0.042,IF(G58="AGENTE APERTURA",'Semana 1'!$J58+0.021,IF(G58="AGENTE CIERRE",'Semana 1'!$J58+0.021," - ")))))</f>
        <v>16:00</v>
      </c>
      <c r="L58" s="21">
        <v>0.4166666666666667</v>
      </c>
      <c r="M58" s="21" t="str">
        <f>IF(G58="AGENTE",'Semana 1'!$L58+0.014,IF(G58="REDES",'Semana 1'!$L58+0.014,IF(G58="AGENTE RM",'Semana 1'!$L58+0.014,IF(G58="AGENTE APERTURA",'Semana 1'!$L58+0.014,IF(G58="AGENTE CIERRE",'Semana 1'!$L58+0.014," - ")))))</f>
        <v>10:20</v>
      </c>
      <c r="N58" s="21">
        <v>0.1875</v>
      </c>
      <c r="O58" s="21" t="str">
        <f>IF(G58="AGENTE",'Semana 1'!$N58+0.007,IF(G58="REDES",'Semana 1'!$N58+0.007,IF(G58="AGENTE RM",'Semana 1'!$N58+0.007,IF(G58="AGENTE APERTURA",'Semana 1'!$N58+0.007,IF(G58="AGENTE CIERRE",'Semana 1'!$N58+0.007," - ")))))</f>
        <v>4:40</v>
      </c>
      <c r="P58" s="22" t="str">
        <f t="shared" si="2"/>
        <v>8.0</v>
      </c>
      <c r="Q58" s="21">
        <v>0.3333333333333333</v>
      </c>
      <c r="R58" s="21" t="str">
        <f t="shared" si="78"/>
        <v>13:00</v>
      </c>
      <c r="S58" s="21"/>
      <c r="T58" s="21"/>
      <c r="U58" s="21">
        <v>0.3541666666666667</v>
      </c>
      <c r="V58" s="21" t="str">
        <f t="shared" si="79"/>
        <v>9:00</v>
      </c>
      <c r="W58" s="21"/>
      <c r="X58" s="21"/>
      <c r="Y58" s="22" t="str">
        <f t="shared" si="80"/>
        <v>5.0</v>
      </c>
      <c r="Z58" s="22" t="str">
        <f t="shared" ref="Z58:AC58" si="83">$P58</f>
        <v>8.0</v>
      </c>
      <c r="AA58" s="22" t="str">
        <f t="shared" si="83"/>
        <v>8.0</v>
      </c>
      <c r="AB58" s="22" t="str">
        <f t="shared" si="83"/>
        <v>8.0</v>
      </c>
      <c r="AC58" s="22" t="str">
        <f t="shared" si="83"/>
        <v>8.0</v>
      </c>
      <c r="AD58" s="23" t="str">
        <f t="shared" si="4"/>
        <v>45</v>
      </c>
    </row>
    <row r="59" ht="15.75" customHeight="1">
      <c r="B59" s="18">
        <v>57.0</v>
      </c>
      <c r="C59" s="18" t="s">
        <v>38</v>
      </c>
      <c r="D59" s="19"/>
      <c r="E59" s="20" t="str">
        <f>Personal!G59</f>
        <v>Ventura Glenda Paola Echeveria Perez</v>
      </c>
      <c r="F59" s="20"/>
      <c r="G59" s="20" t="str">
        <f>Personal!H59</f>
        <v>AGENTE RM</v>
      </c>
      <c r="H59" s="24">
        <v>0.3333333333333333</v>
      </c>
      <c r="I59" s="24" t="str">
        <f t="shared" si="77"/>
        <v>17:00</v>
      </c>
      <c r="J59" s="24">
        <v>0.5416666666666666</v>
      </c>
      <c r="K59" s="24" t="str">
        <f>IF(G59="AGENTE",'Semana 1'!$J59+0.042,IF(G59="REDES",'Semana 1'!$J59+0.042,IF(G59="AGENTE RM",'Semana 1'!$J59+0.042,IF(G59="AGENTE APERTURA",'Semana 1'!$J59+0.021,IF(G59="AGENTE CIERRE",'Semana 1'!$J59+0.021," - ")))))</f>
        <v>14:00</v>
      </c>
      <c r="L59" s="24">
        <v>0.3854166666666667</v>
      </c>
      <c r="M59" s="24" t="str">
        <f>IF(G59="AGENTE",'Semana 1'!$L59+0.014,IF(G59="REDES",'Semana 1'!$L59+0.014,IF(G59="AGENTE RM",'Semana 1'!$L59+0.014,IF(G59="AGENTE APERTURA",'Semana 1'!$L59+0.014,IF(G59="AGENTE CIERRE",'Semana 1'!$L59+0.014," - ")))))</f>
        <v>9:35</v>
      </c>
      <c r="N59" s="24">
        <v>0.6354166666666666</v>
      </c>
      <c r="O59" s="24" t="str">
        <f>IF(G59="AGENTE",'Semana 1'!$N59+0.007,IF(G59="REDES",'Semana 1'!$N59+0.007,IF(G59="AGENTE RM",'Semana 1'!$N59+0.007,IF(G59="AGENTE APERTURA",'Semana 1'!$N59+0.007,IF(G59="AGENTE CIERRE",'Semana 1'!$N59+0.007," - ")))))</f>
        <v>15:25</v>
      </c>
      <c r="P59" s="25" t="str">
        <f t="shared" si="2"/>
        <v>8.0</v>
      </c>
      <c r="Q59" s="24">
        <v>0.3333333333333333</v>
      </c>
      <c r="R59" s="24" t="str">
        <f t="shared" si="78"/>
        <v>13:00</v>
      </c>
      <c r="S59" s="24"/>
      <c r="T59" s="24"/>
      <c r="U59" s="24">
        <v>0.3958333333333333</v>
      </c>
      <c r="V59" s="24" t="str">
        <f t="shared" si="79"/>
        <v>10:00</v>
      </c>
      <c r="W59" s="24"/>
      <c r="X59" s="24"/>
      <c r="Y59" s="25" t="str">
        <f t="shared" si="80"/>
        <v>5.0</v>
      </c>
      <c r="Z59" s="25" t="str">
        <f t="shared" ref="Z59:AC59" si="84">$P59</f>
        <v>8.0</v>
      </c>
      <c r="AA59" s="25" t="str">
        <f t="shared" si="84"/>
        <v>8.0</v>
      </c>
      <c r="AB59" s="25" t="str">
        <f t="shared" si="84"/>
        <v>8.0</v>
      </c>
      <c r="AC59" s="25" t="str">
        <f t="shared" si="84"/>
        <v>8.0</v>
      </c>
      <c r="AD59" s="27" t="str">
        <f t="shared" si="4"/>
        <v>45</v>
      </c>
    </row>
    <row r="60" ht="15.75" customHeight="1">
      <c r="B60" s="18">
        <v>58.0</v>
      </c>
      <c r="C60" s="18" t="s">
        <v>38</v>
      </c>
      <c r="D60" s="19"/>
      <c r="E60" s="20" t="str">
        <f>Personal!G60</f>
        <v>Oscar Rene Ovalle Letran</v>
      </c>
      <c r="F60" s="20"/>
      <c r="G60" s="20" t="str">
        <f>Personal!H60</f>
        <v>SOPORTE</v>
      </c>
      <c r="H60" s="24"/>
      <c r="I60" s="24" t="str">
        <f t="shared" si="77"/>
        <v> </v>
      </c>
      <c r="J60" s="24"/>
      <c r="K60" s="24" t="str">
        <f>IF(G60="AGENTE",'Semana 1'!$J60+0.042,IF(G60="REDES",'Semana 1'!$J60+0.042,IF(G60="AGENTE RM",'Semana 1'!$J60+0.042,IF(G60="AGENTE APERTURA",'Semana 1'!$J60+0.021,IF(G60="AGENTE CIERRE",'Semana 1'!$J60+0.021," - ")))))</f>
        <v> - </v>
      </c>
      <c r="L60" s="24"/>
      <c r="M60" s="24" t="str">
        <f>IF(G60="AGENTE",'Semana 1'!$L60+0.014,IF(G60="REDES",'Semana 1'!$L60+0.014,IF(G60="AGENTE RM",'Semana 1'!$L60+0.014,IF(G60="AGENTE APERTURA",'Semana 1'!$L60+0.014,IF(G60="AGENTE CIERRE",'Semana 1'!$L60+0.014," - ")))))</f>
        <v> - </v>
      </c>
      <c r="N60" s="24"/>
      <c r="O60" s="24" t="str">
        <f>IF(G60="AGENTE",'Semana 1'!$N60+0.007,IF(G60="REDES",'Semana 1'!$N60+0.007,IF(G60="AGENTE RM",'Semana 1'!$N60+0.007,IF(G60="AGENTE APERTURA",'Semana 1'!$N60+0.007,IF(G60="AGENTE CIERRE",'Semana 1'!$N60+0.007," - ")))))</f>
        <v> - </v>
      </c>
      <c r="P60" s="25" t="str">
        <f t="shared" si="2"/>
        <v>-1.0</v>
      </c>
      <c r="Q60" s="24"/>
      <c r="R60" s="24" t="str">
        <f t="shared" si="78"/>
        <v/>
      </c>
      <c r="S60" s="24"/>
      <c r="T60" s="24" t="str">
        <f>IF(G60="AGENTE",'Semana 1'!$S60+0.042,IF(G60="REDES",'Semana 1'!$S60+0.042,IF(G60="AGENTE RM",'Semana 1'!$S60+0.042,IF(G60="AGENTE APERTURA",'Semana 1'!$S60+0.021,IF(G60="AGENTE CIERRE",'Semana 1'!$S60+0.021," - ")))))</f>
        <v> - </v>
      </c>
      <c r="U60" s="24"/>
      <c r="V60" s="24" t="str">
        <f t="shared" si="79"/>
        <v/>
      </c>
      <c r="W60" s="24"/>
      <c r="X60" s="24"/>
      <c r="Y60" s="25" t="str">
        <f t="shared" si="80"/>
        <v>0.0</v>
      </c>
      <c r="Z60" s="25" t="str">
        <f t="shared" ref="Z60:AC60" si="85">$P60</f>
        <v>-1.0</v>
      </c>
      <c r="AA60" s="25" t="str">
        <f t="shared" si="85"/>
        <v>-1.0</v>
      </c>
      <c r="AB60" s="25" t="str">
        <f t="shared" si="85"/>
        <v>-1.0</v>
      </c>
      <c r="AC60" s="25" t="str">
        <f t="shared" si="85"/>
        <v>-1.0</v>
      </c>
      <c r="AD60" s="23" t="str">
        <f t="shared" si="4"/>
        <v>-5</v>
      </c>
    </row>
    <row r="61" ht="15.75" customHeight="1">
      <c r="B61" s="18">
        <v>59.0</v>
      </c>
      <c r="C61" s="18" t="s">
        <v>38</v>
      </c>
      <c r="D61" s="19"/>
      <c r="E61" s="20" t="str">
        <f>Personal!G61</f>
        <v>Mariela Edith Torres Figueroa</v>
      </c>
      <c r="F61" s="20"/>
      <c r="G61" s="20" t="str">
        <f>Personal!H61</f>
        <v>AGENTE</v>
      </c>
      <c r="H61" s="24">
        <v>0.3333333333333333</v>
      </c>
      <c r="I61" s="24" t="str">
        <f t="shared" si="77"/>
        <v>17:00</v>
      </c>
      <c r="J61" s="24">
        <v>0.5</v>
      </c>
      <c r="K61" s="24" t="str">
        <f>IF(G61="AGENTE",'Semana 1'!$J61+0.042,IF(G61="REDES",'Semana 1'!$J61+0.042,IF(G61="AGENTE RM",'Semana 1'!$J61+0.042,IF(G61="AGENTE APERTURA",'Semana 1'!$J61+0.021,IF(G61="AGENTE CIERRE",'Semana 1'!$J61+0.021," - ")))))</f>
        <v>13:00</v>
      </c>
      <c r="L61" s="24">
        <v>0.3854166666666667</v>
      </c>
      <c r="M61" s="24" t="str">
        <f>IF(G61="AGENTE",'Semana 1'!$L61+0.014,IF(G61="REDES",'Semana 1'!$L61+0.014,IF(G61="AGENTE RM",'Semana 1'!$L61+0.014,IF(G61="AGENTE APERTURA",'Semana 1'!$L61+0.014,IF(G61="AGENTE CIERRE",'Semana 1'!$L61+0.014," - ")))))</f>
        <v>9:35</v>
      </c>
      <c r="N61" s="24">
        <v>0.71875</v>
      </c>
      <c r="O61" s="24" t="str">
        <f>IF(G61="AGENTE",'Semana 1'!$N61+0.007,IF(G61="REDES",'Semana 1'!$N61+0.007,IF(G61="AGENTE RM",'Semana 1'!$N61+0.007,IF(G61="AGENTE APERTURA",'Semana 1'!$N61+0.007,IF(G61="AGENTE CIERRE",'Semana 1'!$N61+0.007," - ")))))</f>
        <v>17:25</v>
      </c>
      <c r="P61" s="25" t="str">
        <f t="shared" si="2"/>
        <v>8.0</v>
      </c>
      <c r="Q61" s="24">
        <v>0.4166666666666667</v>
      </c>
      <c r="R61" s="24" t="str">
        <f t="shared" si="78"/>
        <v>15:00</v>
      </c>
      <c r="S61" s="24"/>
      <c r="T61" s="24"/>
      <c r="U61" s="24">
        <v>0.5</v>
      </c>
      <c r="V61" s="24" t="str">
        <f t="shared" si="79"/>
        <v>12:30</v>
      </c>
      <c r="W61" s="24"/>
      <c r="X61" s="24"/>
      <c r="Y61" s="25" t="str">
        <f t="shared" si="80"/>
        <v>5.0</v>
      </c>
      <c r="Z61" s="25" t="str">
        <f t="shared" ref="Z61:AC61" si="86">$P61</f>
        <v>8.0</v>
      </c>
      <c r="AA61" s="25" t="str">
        <f t="shared" si="86"/>
        <v>8.0</v>
      </c>
      <c r="AB61" s="25" t="str">
        <f t="shared" si="86"/>
        <v>8.0</v>
      </c>
      <c r="AC61" s="25" t="str">
        <f t="shared" si="86"/>
        <v>8.0</v>
      </c>
      <c r="AD61" s="27" t="str">
        <f t="shared" si="4"/>
        <v>45</v>
      </c>
    </row>
    <row r="62" ht="15.75" customHeight="1">
      <c r="B62" s="18">
        <v>60.0</v>
      </c>
      <c r="C62" s="18" t="s">
        <v>38</v>
      </c>
      <c r="D62" s="19"/>
      <c r="E62" s="20" t="str">
        <f>Personal!G62</f>
        <v>Marlyn Argentina Aguilar Lemus</v>
      </c>
      <c r="F62" s="20"/>
      <c r="G62" s="20" t="str">
        <f>Personal!H62</f>
        <v>AGENTE</v>
      </c>
      <c r="H62" s="24">
        <v>0.2708333333333333</v>
      </c>
      <c r="I62" s="24" t="str">
        <f t="shared" si="77"/>
        <v>15:30</v>
      </c>
      <c r="J62" s="24">
        <v>0.5</v>
      </c>
      <c r="K62" s="24" t="str">
        <f>IF(G62="AGENTE",'Semana 1'!$J62+0.042,IF(G62="REDES",'Semana 1'!$J62+0.042,IF(G62="AGENTE RM",'Semana 1'!$J62+0.042,IF(G62="AGENTE APERTURA",'Semana 1'!$J62+0.021,IF(G62="AGENTE CIERRE",'Semana 1'!$J62+0.021," - ")))))</f>
        <v>13:00</v>
      </c>
      <c r="L62" s="24">
        <v>0.3541666666666667</v>
      </c>
      <c r="M62" s="24" t="str">
        <f>IF(G62="AGENTE",'Semana 1'!$L62+0.014,IF(G62="REDES",'Semana 1'!$L62+0.014,IF(G62="AGENTE RM",'Semana 1'!$L62+0.014,IF(G62="AGENTE APERTURA",'Semana 1'!$L62+0.014,IF(G62="AGENTE CIERRE",'Semana 1'!$L62+0.014," - ")))))</f>
        <v>8:50</v>
      </c>
      <c r="N62" s="24">
        <v>0.65625</v>
      </c>
      <c r="O62" s="24" t="str">
        <f>IF(G62="AGENTE",'Semana 1'!$N62+0.007,IF(G62="REDES",'Semana 1'!$N62+0.007,IF(G62="AGENTE RM",'Semana 1'!$N62+0.007,IF(G62="AGENTE APERTURA",'Semana 1'!$N62+0.007,IF(G62="AGENTE CIERRE",'Semana 1'!$N62+0.007," - ")))))</f>
        <v>15:55</v>
      </c>
      <c r="P62" s="25" t="str">
        <f t="shared" si="2"/>
        <v>8.0</v>
      </c>
      <c r="Q62" s="24">
        <v>0.4166666666666667</v>
      </c>
      <c r="R62" s="24" t="str">
        <f t="shared" si="78"/>
        <v>15:00</v>
      </c>
      <c r="S62" s="24"/>
      <c r="T62" s="24"/>
      <c r="U62" s="24">
        <v>0.5833333333333334</v>
      </c>
      <c r="V62" s="24" t="str">
        <f t="shared" si="79"/>
        <v>14:30</v>
      </c>
      <c r="W62" s="24"/>
      <c r="X62" s="24"/>
      <c r="Y62" s="25" t="str">
        <f t="shared" si="80"/>
        <v>5.0</v>
      </c>
      <c r="Z62" s="25" t="str">
        <f t="shared" ref="Z62:AC62" si="87">$P62</f>
        <v>8.0</v>
      </c>
      <c r="AA62" s="25" t="str">
        <f t="shared" si="87"/>
        <v>8.0</v>
      </c>
      <c r="AB62" s="25" t="str">
        <f t="shared" si="87"/>
        <v>8.0</v>
      </c>
      <c r="AC62" s="25" t="str">
        <f t="shared" si="87"/>
        <v>8.0</v>
      </c>
      <c r="AD62" s="23" t="str">
        <f t="shared" si="4"/>
        <v>45</v>
      </c>
    </row>
    <row r="63" ht="15.75" customHeight="1">
      <c r="B63" s="18">
        <v>61.0</v>
      </c>
      <c r="C63" s="18" t="s">
        <v>38</v>
      </c>
      <c r="D63" s="19"/>
      <c r="E63" s="20" t="str">
        <f>Personal!G63</f>
        <v>Ilse Beatriz Perez Roque</v>
      </c>
      <c r="F63" s="20"/>
      <c r="G63" s="20" t="str">
        <f>Personal!H63</f>
        <v>AGENTE</v>
      </c>
      <c r="H63" s="24">
        <v>0.3333333333333333</v>
      </c>
      <c r="I63" s="24" t="str">
        <f t="shared" si="77"/>
        <v>17:00</v>
      </c>
      <c r="J63" s="24">
        <v>0.5833333333333334</v>
      </c>
      <c r="K63" s="24" t="str">
        <f>IF(G63="AGENTE",'Semana 1'!$J63+0.042,IF(G63="REDES",'Semana 1'!$J63+0.042,IF(G63="AGENTE RM",'Semana 1'!$J63+0.042,IF(G63="AGENTE APERTURA",'Semana 1'!$J63+0.021,IF(G63="AGENTE CIERRE",'Semana 1'!$J63+0.021," - ")))))</f>
        <v>15:00</v>
      </c>
      <c r="L63" s="24">
        <v>0.4166666666666667</v>
      </c>
      <c r="M63" s="24" t="str">
        <f>IF(G63="AGENTE",'Semana 1'!$L63+0.014,IF(G63="REDES",'Semana 1'!$L63+0.014,IF(G63="AGENTE RM",'Semana 1'!$L63+0.014,IF(G63="AGENTE APERTURA",'Semana 1'!$L63+0.014,IF(G63="AGENTE CIERRE",'Semana 1'!$L63+0.014," - ")))))</f>
        <v>10:20</v>
      </c>
      <c r="N63" s="24">
        <v>0.6875</v>
      </c>
      <c r="O63" s="24" t="str">
        <f>IF(G63="AGENTE",'Semana 1'!$N63+0.007,IF(G63="REDES",'Semana 1'!$N63+0.007,IF(G63="AGENTE RM",'Semana 1'!$N63+0.007,IF(G63="AGENTE APERTURA",'Semana 1'!$N63+0.007,IF(G63="AGENTE CIERRE",'Semana 1'!$N63+0.007," - ")))))</f>
        <v>16:40</v>
      </c>
      <c r="P63" s="25" t="str">
        <f t="shared" si="2"/>
        <v>8.0</v>
      </c>
      <c r="Q63" s="24">
        <v>0.3958333333333333</v>
      </c>
      <c r="R63" s="24" t="str">
        <f t="shared" si="78"/>
        <v>14:30</v>
      </c>
      <c r="S63" s="24"/>
      <c r="T63" s="24"/>
      <c r="U63" s="24">
        <v>0.5416666666666666</v>
      </c>
      <c r="V63" s="24" t="str">
        <f t="shared" si="79"/>
        <v>13:30</v>
      </c>
      <c r="W63" s="24"/>
      <c r="X63" s="24"/>
      <c r="Y63" s="25" t="str">
        <f t="shared" si="80"/>
        <v>5.0</v>
      </c>
      <c r="Z63" s="25" t="str">
        <f t="shared" ref="Z63:AC63" si="88">$P63</f>
        <v>8.0</v>
      </c>
      <c r="AA63" s="25" t="str">
        <f t="shared" si="88"/>
        <v>8.0</v>
      </c>
      <c r="AB63" s="25" t="str">
        <f t="shared" si="88"/>
        <v>8.0</v>
      </c>
      <c r="AC63" s="25" t="str">
        <f t="shared" si="88"/>
        <v>8.0</v>
      </c>
      <c r="AD63" s="27" t="str">
        <f t="shared" si="4"/>
        <v>45</v>
      </c>
    </row>
    <row r="64" ht="15.75" customHeight="1">
      <c r="B64" s="18">
        <v>62.0</v>
      </c>
      <c r="C64" s="18" t="s">
        <v>39</v>
      </c>
      <c r="D64" s="19"/>
      <c r="E64" s="20" t="str">
        <f>Personal!G64</f>
        <v>-</v>
      </c>
      <c r="F64" s="20"/>
      <c r="G64" s="20" t="str">
        <f>Personal!H64</f>
        <v>-</v>
      </c>
      <c r="H64" s="24"/>
      <c r="I64" s="24" t="str">
        <f t="shared" si="77"/>
        <v> </v>
      </c>
      <c r="J64" s="24"/>
      <c r="K64" s="24" t="str">
        <f>IF(G64="AGENTE",'Semana 1'!$J64+0.042,IF(G64="REDES",'Semana 1'!$J64+0.042,IF(G64="AGENTE RM",'Semana 1'!$J64+0.042,IF(G64="AGENTE APERTURA",'Semana 1'!$J64+0.021,IF(G64="AGENTE CIERRE",'Semana 1'!$J64+0.021," - ")))))</f>
        <v> - </v>
      </c>
      <c r="L64" s="24"/>
      <c r="M64" s="24" t="str">
        <f>IF(G64="AGENTE",'Semana 1'!$L64+0.014,IF(G64="REDES",'Semana 1'!$L64+0.014,IF(G64="AGENTE RM",'Semana 1'!$L64+0.014,IF(G64="AGENTE APERTURA",'Semana 1'!$L64+0.014,IF(G64="AGENTE CIERRE",'Semana 1'!$L64+0.014," - ")))))</f>
        <v> - </v>
      </c>
      <c r="N64" s="24"/>
      <c r="O64" s="24" t="str">
        <f>IF(G64="AGENTE",'Semana 1'!$N64+0.007,IF(G64="REDES",'Semana 1'!$N64+0.007,IF(G64="AGENTE RM",'Semana 1'!$N64+0.007,IF(G64="AGENTE APERTURA",'Semana 1'!$N64+0.007,IF(G64="AGENTE CIERRE",'Semana 1'!$N64+0.007," - ")))))</f>
        <v> - </v>
      </c>
      <c r="P64" s="25" t="str">
        <f t="shared" si="2"/>
        <v>-1.0</v>
      </c>
      <c r="Q64" s="24"/>
      <c r="R64" s="24"/>
      <c r="S64" s="24"/>
      <c r="T64" s="24" t="str">
        <f>IF(G64="AGENTE",'Semana 1'!$S64+0.042,IF(G64="REDES",'Semana 1'!$S64+0.042,IF(G64="AGENTE RM",'Semana 1'!$S64+0.042,IF(G64="AGENTE APERTURA",'Semana 1'!$S64+0.021,IF(G64="AGENTE CIERRE",'Semana 1'!$S64+0.021," - ")))))</f>
        <v> - </v>
      </c>
      <c r="U64" s="24"/>
      <c r="V64" s="24" t="str">
        <f t="shared" si="79"/>
        <v/>
      </c>
      <c r="W64" s="24"/>
      <c r="X64" s="24"/>
      <c r="Y64" s="25" t="str">
        <f t="shared" si="80"/>
        <v>0.0</v>
      </c>
      <c r="Z64" s="25" t="str">
        <f t="shared" ref="Z64:AC64" si="89">$P64</f>
        <v>-1.0</v>
      </c>
      <c r="AA64" s="25" t="str">
        <f t="shared" si="89"/>
        <v>-1.0</v>
      </c>
      <c r="AB64" s="25" t="str">
        <f t="shared" si="89"/>
        <v>-1.0</v>
      </c>
      <c r="AC64" s="25" t="str">
        <f t="shared" si="89"/>
        <v>-1.0</v>
      </c>
      <c r="AD64" s="23" t="str">
        <f t="shared" si="4"/>
        <v>-5</v>
      </c>
    </row>
    <row r="65" ht="15.75" customHeight="1">
      <c r="B65" s="18">
        <v>63.0</v>
      </c>
      <c r="C65" s="18" t="s">
        <v>39</v>
      </c>
      <c r="D65" s="19"/>
      <c r="E65" s="20" t="str">
        <f>Personal!G65</f>
        <v>-</v>
      </c>
      <c r="F65" s="20"/>
      <c r="G65" s="20" t="str">
        <f>Personal!H65</f>
        <v>-</v>
      </c>
      <c r="H65" s="24"/>
      <c r="I65" s="24"/>
      <c r="J65" s="24"/>
      <c r="K65" s="24" t="str">
        <f>IF(G65="AGENTE",'Semana 1'!$J65+0.042,IF(G65="REDES",'Semana 1'!$J65+0.042,IF(G65="AGENTE RM",'Semana 1'!$J65+0.042,IF(G65="AGENTE APERTURA",'Semana 1'!$J65+0.021,IF(G65="AGENTE CIERRE",'Semana 1'!$J65+0.021," - ")))))</f>
        <v> - </v>
      </c>
      <c r="L65" s="24"/>
      <c r="M65" s="24" t="str">
        <f>IF(G65="AGENTE",'Semana 1'!$L65+0.014,IF(G65="REDES",'Semana 1'!$L65+0.014,IF(G65="AGENTE RM",'Semana 1'!$L65+0.014,IF(G65="AGENTE APERTURA",'Semana 1'!$L65+0.014,IF(G65="AGENTE CIERRE",'Semana 1'!$L65+0.014," - ")))))</f>
        <v> - </v>
      </c>
      <c r="N65" s="24"/>
      <c r="O65" s="24" t="str">
        <f>IF(G65="AGENTE",'Semana 1'!$N65+0.007,IF(G65="REDES",'Semana 1'!$N65+0.007,IF(G65="AGENTE RM",'Semana 1'!$N65+0.007,IF(G65="AGENTE APERTURA",'Semana 1'!$N65+0.007,IF(G65="AGENTE CIERRE",'Semana 1'!$N65+0.007," - ")))))</f>
        <v> - </v>
      </c>
      <c r="P65" s="25" t="str">
        <f t="shared" si="2"/>
        <v>-1.0</v>
      </c>
      <c r="Q65" s="24"/>
      <c r="R65" s="24"/>
      <c r="S65" s="24"/>
      <c r="T65" s="24" t="str">
        <f>IF(G65="AGENTE",'Semana 1'!$S65+0.042,IF(G65="REDES",'Semana 1'!$S65+0.042,IF(G65="AGENTE RM",'Semana 1'!$S65+0.042,IF(G65="AGENTE APERTURA",'Semana 1'!$S65+0.021,IF(G65="AGENTE CIERRE",'Semana 1'!$S65+0.021," - ")))))</f>
        <v> - </v>
      </c>
      <c r="U65" s="24"/>
      <c r="V65" s="24"/>
      <c r="W65" s="24"/>
      <c r="X65" s="24"/>
      <c r="Y65" s="25" t="str">
        <f t="shared" si="80"/>
        <v>0.0</v>
      </c>
      <c r="Z65" s="25" t="str">
        <f t="shared" ref="Z65:AC65" si="90">$P65</f>
        <v>-1.0</v>
      </c>
      <c r="AA65" s="25" t="str">
        <f t="shared" si="90"/>
        <v>-1.0</v>
      </c>
      <c r="AB65" s="25" t="str">
        <f t="shared" si="90"/>
        <v>-1.0</v>
      </c>
      <c r="AC65" s="25" t="str">
        <f t="shared" si="90"/>
        <v>-1.0</v>
      </c>
      <c r="AD65" s="27" t="str">
        <f t="shared" si="4"/>
        <v>-5</v>
      </c>
    </row>
    <row r="66" ht="15.75" customHeight="1">
      <c r="B66" s="18">
        <v>64.0</v>
      </c>
      <c r="C66" s="18" t="s">
        <v>39</v>
      </c>
      <c r="D66" s="19"/>
      <c r="E66" s="20" t="str">
        <f>Personal!G66</f>
        <v>-</v>
      </c>
      <c r="F66" s="20"/>
      <c r="G66" s="20" t="str">
        <f>Personal!H66</f>
        <v>-</v>
      </c>
      <c r="H66" s="24"/>
      <c r="I66" s="24"/>
      <c r="J66" s="24"/>
      <c r="K66" s="24" t="str">
        <f>IF(G66="AGENTE",'Semana 1'!$J66+0.042,IF(G66="REDES",'Semana 1'!$J66+0.042,IF(G66="AGENTE RM",'Semana 1'!$J66+0.042,IF(G66="AGENTE APERTURA",'Semana 1'!$J66+0.021,IF(G66="AGENTE CIERRE",'Semana 1'!$J66+0.021," - ")))))</f>
        <v> - </v>
      </c>
      <c r="L66" s="24"/>
      <c r="M66" s="24" t="str">
        <f>IF(G66="AGENTE",'Semana 1'!$L66+0.014,IF(G66="REDES",'Semana 1'!$L66+0.014,IF(G66="AGENTE RM",'Semana 1'!$L66+0.014,IF(G66="AGENTE APERTURA",'Semana 1'!$L66+0.014,IF(G66="AGENTE CIERRE",'Semana 1'!$L66+0.014," - ")))))</f>
        <v> - </v>
      </c>
      <c r="N66" s="24"/>
      <c r="O66" s="24" t="str">
        <f>IF(G66="AGENTE",'Semana 1'!$N66+0.007,IF(G66="REDES",'Semana 1'!$N66+0.007,IF(G66="AGENTE RM",'Semana 1'!$N66+0.007,IF(G66="AGENTE APERTURA",'Semana 1'!$N66+0.007,IF(G66="AGENTE CIERRE",'Semana 1'!$N66+0.007," - ")))))</f>
        <v> - </v>
      </c>
      <c r="P66" s="25" t="str">
        <f t="shared" si="2"/>
        <v>-1.0</v>
      </c>
      <c r="Q66" s="24"/>
      <c r="R66" s="24"/>
      <c r="S66" s="24"/>
      <c r="T66" s="24" t="str">
        <f>IF(G66="AGENTE",'Semana 1'!$S66+0.042,IF(G66="REDES",'Semana 1'!$S66+0.042,IF(G66="AGENTE RM",'Semana 1'!$S66+0.042,IF(G66="AGENTE APERTURA",'Semana 1'!$S66+0.021,IF(G66="AGENTE CIERRE",'Semana 1'!$S66+0.021," - ")))))</f>
        <v> - </v>
      </c>
      <c r="U66" s="24"/>
      <c r="V66" s="24"/>
      <c r="W66" s="24"/>
      <c r="X66" s="24"/>
      <c r="Y66" s="25" t="str">
        <f t="shared" si="80"/>
        <v>0.0</v>
      </c>
      <c r="Z66" s="25" t="str">
        <f t="shared" ref="Z66:AC66" si="91">$P66</f>
        <v>-1.0</v>
      </c>
      <c r="AA66" s="25" t="str">
        <f t="shared" si="91"/>
        <v>-1.0</v>
      </c>
      <c r="AB66" s="25" t="str">
        <f t="shared" si="91"/>
        <v>-1.0</v>
      </c>
      <c r="AC66" s="25" t="str">
        <f t="shared" si="91"/>
        <v>-1.0</v>
      </c>
      <c r="AD66" s="23" t="str">
        <f t="shared" si="4"/>
        <v>-5</v>
      </c>
    </row>
    <row r="67" ht="15.75" customHeight="1">
      <c r="B67" s="18">
        <v>65.0</v>
      </c>
      <c r="C67" s="18" t="s">
        <v>38</v>
      </c>
      <c r="D67" s="19"/>
      <c r="E67" s="20" t="str">
        <f>Personal!G67</f>
        <v>Selvin Manolo Rajpop Ajuchan</v>
      </c>
      <c r="F67" s="20"/>
      <c r="G67" s="20" t="str">
        <f>Personal!H67</f>
        <v>AGENTE</v>
      </c>
      <c r="H67" s="24">
        <v>0.3333333333333333</v>
      </c>
      <c r="I67" s="24" t="str">
        <f>IF(H67=0," ",IF(Q67=0,(H67+0.417),(H67+0.3756)))</f>
        <v>17:00</v>
      </c>
      <c r="J67" s="24">
        <v>0.5416666666666666</v>
      </c>
      <c r="K67" s="24" t="str">
        <f>IF(G67="AGENTE",'Semana 1'!$J67+0.042,IF(G67="REDES",'Semana 1'!$J67+0.042,IF(G67="AGENTE RM",'Semana 1'!$J67+0.042,IF(G67="AGENTE APERTURA",'Semana 1'!$J67+0.021,IF(G67="AGENTE CIERRE",'Semana 1'!$J67+0.021," - ")))))</f>
        <v>14:00</v>
      </c>
      <c r="L67" s="24">
        <v>0.3854166666666667</v>
      </c>
      <c r="M67" s="24" t="str">
        <f>IF(G67="AGENTE",'Semana 1'!$L67+0.014,IF(G67="REDES",'Semana 1'!$L67+0.014,IF(G67="AGENTE RM",'Semana 1'!$L67+0.014,IF(G67="AGENTE APERTURA",'Semana 1'!$L67+0.014,IF(G67="AGENTE CIERRE",'Semana 1'!$L67+0.014," - ")))))</f>
        <v>9:35</v>
      </c>
      <c r="N67" s="24">
        <v>0.6979166666666666</v>
      </c>
      <c r="O67" s="24" t="str">
        <f>IF(G67="AGENTE",'Semana 1'!$N67+0.007,IF(G67="REDES",'Semana 1'!$N67+0.007,IF(G67="AGENTE RM",'Semana 1'!$N67+0.007,IF(G67="AGENTE APERTURA",'Semana 1'!$N67+0.007,IF(G67="AGENTE CIERRE",'Semana 1'!$N67+0.007," - ")))))</f>
        <v>16:55</v>
      </c>
      <c r="P67" s="25" t="str">
        <f t="shared" si="2"/>
        <v>8.0</v>
      </c>
      <c r="Q67" s="24">
        <v>0.3541666666666667</v>
      </c>
      <c r="R67" s="24" t="str">
        <f>IF(Q67=0,"",Q67+0.209)</f>
        <v>13:30</v>
      </c>
      <c r="S67" s="24"/>
      <c r="T67" s="24"/>
      <c r="U67" s="24">
        <v>0.3541666666666667</v>
      </c>
      <c r="V67" s="24" t="str">
        <f>IF(U67=0,"",U67+0.021)</f>
        <v>9:00</v>
      </c>
      <c r="W67" s="24"/>
      <c r="X67" s="24"/>
      <c r="Y67" s="25" t="str">
        <f t="shared" si="80"/>
        <v>5.0</v>
      </c>
      <c r="Z67" s="25" t="str">
        <f t="shared" ref="Z67:AC67" si="92">$P67</f>
        <v>8.0</v>
      </c>
      <c r="AA67" s="25" t="str">
        <f t="shared" si="92"/>
        <v>8.0</v>
      </c>
      <c r="AB67" s="25" t="str">
        <f t="shared" si="92"/>
        <v>8.0</v>
      </c>
      <c r="AC67" s="25" t="str">
        <f t="shared" si="92"/>
        <v>8.0</v>
      </c>
      <c r="AD67" s="27" t="str">
        <f t="shared" si="4"/>
        <v>45</v>
      </c>
    </row>
    <row r="68" ht="15.75" customHeight="1">
      <c r="B68" s="18">
        <v>66.0</v>
      </c>
      <c r="C68" s="18" t="s">
        <v>38</v>
      </c>
      <c r="D68" s="19"/>
      <c r="E68" s="20" t="str">
        <f>Personal!G68</f>
        <v>Abner Alexander Curruchich Diaz</v>
      </c>
      <c r="F68" s="20"/>
      <c r="G68" s="20" t="str">
        <f>Personal!H68</f>
        <v>AGENTE</v>
      </c>
      <c r="H68" s="24">
        <v>0.6666666666666666</v>
      </c>
      <c r="I68" s="24">
        <v>0.9583333333333334</v>
      </c>
      <c r="J68" s="24">
        <v>0.875</v>
      </c>
      <c r="K68" s="24">
        <v>0.8958333333333334</v>
      </c>
      <c r="L68" s="24">
        <v>0.8958333333333334</v>
      </c>
      <c r="M68" s="24" t="str">
        <f>IF(G68="AGENTE",'Semana 1'!$L68+0.014,IF(G68="REDES",'Semana 1'!$L68+0.014,IF(G68="AGENTE RM",'Semana 1'!$L68+0.014,IF(G68="AGENTE APERTURA",'Semana 1'!$L68+0.014,IF(G68="AGENTE CIERRE",'Semana 1'!$L68+0.014," - ")))))</f>
        <v>21:50</v>
      </c>
      <c r="N68" s="24">
        <v>0.9097222222222222</v>
      </c>
      <c r="O68" s="24" t="str">
        <f>IF(G68="AGENTE",'Semana 1'!$N68+0.007,IF(G68="REDES",'Semana 1'!$N68+0.007,IF(G68="AGENTE RM",'Semana 1'!$N68+0.007,IF(G68="AGENTE APERTURA",'Semana 1'!$N68+0.007,IF(G68="AGENTE CIERRE",'Semana 1'!$N68+0.007," - ")))))</f>
        <v>22:00</v>
      </c>
      <c r="P68" s="25" t="str">
        <f t="shared" si="2"/>
        <v>6.0</v>
      </c>
      <c r="Q68" s="24">
        <v>0.6666666666666666</v>
      </c>
      <c r="R68" s="24">
        <v>0.9583333333333334</v>
      </c>
      <c r="S68" s="24">
        <v>0.875</v>
      </c>
      <c r="T68" s="24">
        <v>0.8958333333333334</v>
      </c>
      <c r="U68" s="24">
        <v>0.8958333333333334</v>
      </c>
      <c r="V68" s="24">
        <v>0.9098333333333334</v>
      </c>
      <c r="W68" s="24">
        <v>0.9097222222222222</v>
      </c>
      <c r="X68" s="24">
        <v>0.9167222222222222</v>
      </c>
      <c r="Y68" s="25" t="str">
        <f>(IFERROR(R68-Q68,0)*24)-1</f>
        <v>6.0</v>
      </c>
      <c r="Z68" s="25" t="str">
        <f t="shared" ref="Z68:AC68" si="93">$P68</f>
        <v>6.0</v>
      </c>
      <c r="AA68" s="25" t="str">
        <f t="shared" si="93"/>
        <v>6.0</v>
      </c>
      <c r="AB68" s="25" t="str">
        <f t="shared" si="93"/>
        <v>6.0</v>
      </c>
      <c r="AC68" s="25" t="str">
        <f t="shared" si="93"/>
        <v>6.0</v>
      </c>
      <c r="AD68" s="23" t="str">
        <f t="shared" si="4"/>
        <v>36</v>
      </c>
    </row>
    <row r="69" ht="15.75" customHeight="1">
      <c r="B69" s="18">
        <v>67.0</v>
      </c>
      <c r="C69" s="18" t="s">
        <v>38</v>
      </c>
      <c r="D69" s="19"/>
      <c r="E69" s="20" t="str">
        <f>Personal!G69</f>
        <v>Cindi Yorleni Godinez Siles de Eguizabal</v>
      </c>
      <c r="F69" s="20"/>
      <c r="G69" s="20" t="str">
        <f>Personal!H69</f>
        <v>AGENTE</v>
      </c>
      <c r="H69" s="24">
        <v>0.4166666666666667</v>
      </c>
      <c r="I69" s="24" t="str">
        <f t="shared" ref="I69:I74" si="95">IF(H69=0," ",IF(Q69=0,(H69+0.417),(H69+0.3756)))</f>
        <v>19:00</v>
      </c>
      <c r="J69" s="24">
        <v>0.625</v>
      </c>
      <c r="K69" s="24" t="str">
        <f>IF(G69="AGENTE",'Semana 1'!$J69+0.042,IF(G69="REDES",'Semana 1'!$J69+0.042,IF(G69="AGENTE RM",'Semana 1'!$J69+0.042,IF(G69="AGENTE APERTURA",'Semana 1'!$J69+0.021,IF(G69="AGENTE CIERRE",'Semana 1'!$J69+0.021," - ")))))</f>
        <v>16:00</v>
      </c>
      <c r="L69" s="24">
        <v>0.46875</v>
      </c>
      <c r="M69" s="24" t="str">
        <f>IF(G69="AGENTE",'Semana 1'!$L69+0.014,IF(G69="REDES",'Semana 1'!$L69+0.014,IF(G69="AGENTE RM",'Semana 1'!$L69+0.014,IF(G69="AGENTE APERTURA",'Semana 1'!$L69+0.014,IF(G69="AGENTE CIERRE",'Semana 1'!$L69+0.014," - ")))))</f>
        <v>11:35</v>
      </c>
      <c r="N69" s="24">
        <v>0.6875</v>
      </c>
      <c r="O69" s="24" t="str">
        <f>IF(G69="AGENTE",'Semana 1'!$N69+0.007,IF(G69="REDES",'Semana 1'!$N69+0.007,IF(G69="AGENTE RM",'Semana 1'!$N69+0.007,IF(G69="AGENTE APERTURA",'Semana 1'!$N69+0.007,IF(G69="AGENTE CIERRE",'Semana 1'!$N69+0.007," - ")))))</f>
        <v>16:40</v>
      </c>
      <c r="P69" s="25" t="str">
        <f t="shared" si="2"/>
        <v>8.0</v>
      </c>
      <c r="Q69" s="24">
        <v>0.4583333333333333</v>
      </c>
      <c r="R69" s="24" t="str">
        <f t="shared" ref="R69:R74" si="96">IF(Q69=0,"",Q69+0.209)</f>
        <v>16:00</v>
      </c>
      <c r="S69" s="24"/>
      <c r="T69" s="24"/>
      <c r="U69" s="24">
        <v>0.5416666666666666</v>
      </c>
      <c r="V69" s="24" t="str">
        <f t="shared" ref="V69:V74" si="97">IF(U69=0,"",U69+0.021)</f>
        <v>13:30</v>
      </c>
      <c r="W69" s="24"/>
      <c r="X69" s="24"/>
      <c r="Y69" s="25" t="str">
        <f t="shared" ref="Y69:Y79" si="98">(IFERROR(R69-Q69,0)*24)</f>
        <v>5.0</v>
      </c>
      <c r="Z69" s="25" t="str">
        <f t="shared" ref="Z69:AC69" si="94">$P69</f>
        <v>8.0</v>
      </c>
      <c r="AA69" s="25" t="str">
        <f t="shared" si="94"/>
        <v>8.0</v>
      </c>
      <c r="AB69" s="25" t="str">
        <f t="shared" si="94"/>
        <v>8.0</v>
      </c>
      <c r="AC69" s="25" t="str">
        <f t="shared" si="94"/>
        <v>8.0</v>
      </c>
      <c r="AD69" s="27" t="str">
        <f t="shared" si="4"/>
        <v>45</v>
      </c>
    </row>
    <row r="70" ht="15.75" customHeight="1">
      <c r="B70" s="18">
        <v>68.0</v>
      </c>
      <c r="C70" s="18" t="s">
        <v>38</v>
      </c>
      <c r="D70" s="19"/>
      <c r="E70" s="20" t="str">
        <f>Personal!G70</f>
        <v>Lleny Yolanda Asetun Jeronimo de Mateo</v>
      </c>
      <c r="F70" s="20"/>
      <c r="G70" s="20" t="str">
        <f>Personal!H70</f>
        <v>AGENTE</v>
      </c>
      <c r="H70" s="24">
        <v>0.3333333333333333</v>
      </c>
      <c r="I70" s="24" t="str">
        <f t="shared" si="95"/>
        <v>17:00</v>
      </c>
      <c r="J70" s="24">
        <v>0.5416666666666666</v>
      </c>
      <c r="K70" s="24" t="str">
        <f>IF(G70="AGENTE",'Semana 1'!$J70+0.042,IF(G70="REDES",'Semana 1'!$J70+0.042,IF(G70="AGENTE RM",'Semana 1'!$J70+0.042,IF(G70="AGENTE APERTURA",'Semana 1'!$J70+0.021,IF(G70="AGENTE CIERRE",'Semana 1'!$J70+0.021," - ")))))</f>
        <v>14:00</v>
      </c>
      <c r="L70" s="24">
        <v>0.3958333333333333</v>
      </c>
      <c r="M70" s="24" t="str">
        <f>IF(G70="AGENTE",'Semana 1'!$L70+0.014,IF(G70="REDES",'Semana 1'!$L70+0.014,IF(G70="AGENTE RM",'Semana 1'!$L70+0.014,IF(G70="AGENTE APERTURA",'Semana 1'!$L70+0.014,IF(G70="AGENTE CIERRE",'Semana 1'!$L70+0.014," - ")))))</f>
        <v>9:50</v>
      </c>
      <c r="N70" s="24">
        <v>0.6770833333333334</v>
      </c>
      <c r="O70" s="24" t="str">
        <f>IF(G70="AGENTE",'Semana 1'!$N70+0.007,IF(G70="REDES",'Semana 1'!$N70+0.007,IF(G70="AGENTE RM",'Semana 1'!$N70+0.007,IF(G70="AGENTE APERTURA",'Semana 1'!$N70+0.007,IF(G70="AGENTE CIERRE",'Semana 1'!$N70+0.007," - ")))))</f>
        <v>16:25</v>
      </c>
      <c r="P70" s="25" t="str">
        <f t="shared" si="2"/>
        <v>8.0</v>
      </c>
      <c r="Q70" s="24">
        <v>0.5416666666666666</v>
      </c>
      <c r="R70" s="24" t="str">
        <f t="shared" si="96"/>
        <v>18:00</v>
      </c>
      <c r="S70" s="24"/>
      <c r="T70" s="24"/>
      <c r="U70" s="24">
        <v>0.6458333333333334</v>
      </c>
      <c r="V70" s="24" t="str">
        <f t="shared" si="97"/>
        <v>16:00</v>
      </c>
      <c r="W70" s="24"/>
      <c r="X70" s="24"/>
      <c r="Y70" s="25" t="str">
        <f t="shared" si="98"/>
        <v>5.0</v>
      </c>
      <c r="Z70" s="25" t="str">
        <f t="shared" ref="Z70:AC70" si="99">$P70</f>
        <v>8.0</v>
      </c>
      <c r="AA70" s="25" t="str">
        <f t="shared" si="99"/>
        <v>8.0</v>
      </c>
      <c r="AB70" s="25" t="str">
        <f t="shared" si="99"/>
        <v>8.0</v>
      </c>
      <c r="AC70" s="25" t="str">
        <f t="shared" si="99"/>
        <v>8.0</v>
      </c>
      <c r="AD70" s="23" t="str">
        <f t="shared" si="4"/>
        <v>45</v>
      </c>
    </row>
    <row r="71" ht="15.75" customHeight="1">
      <c r="B71" s="18">
        <v>69.0</v>
      </c>
      <c r="C71" s="18" t="s">
        <v>38</v>
      </c>
      <c r="D71" s="19"/>
      <c r="E71" s="20" t="str">
        <f>Personal!G71</f>
        <v>Ruth Nohemi Rosales Perez</v>
      </c>
      <c r="F71" s="20"/>
      <c r="G71" s="20" t="str">
        <f>Personal!H71</f>
        <v>AGENTE</v>
      </c>
      <c r="H71" s="24">
        <v>0.2916666666666667</v>
      </c>
      <c r="I71" s="24" t="str">
        <f t="shared" si="95"/>
        <v>16:00</v>
      </c>
      <c r="J71" s="24">
        <v>0.5</v>
      </c>
      <c r="K71" s="24" t="str">
        <f>IF(G71="AGENTE",'Semana 1'!$J71+0.042,IF(G71="REDES",'Semana 1'!$J71+0.042,IF(G71="AGENTE RM",'Semana 1'!$J71+0.042,IF(G71="AGENTE APERTURA",'Semana 1'!$J71+0.021,IF(G71="AGENTE CIERRE",'Semana 1'!$J71+0.021," - ")))))</f>
        <v>13:00</v>
      </c>
      <c r="L71" s="24">
        <v>0.3645833333333333</v>
      </c>
      <c r="M71" s="24" t="str">
        <f>IF(G71="AGENTE",'Semana 1'!$L71+0.014,IF(G71="REDES",'Semana 1'!$L71+0.014,IF(G71="AGENTE RM",'Semana 1'!$L71+0.014,IF(G71="AGENTE APERTURA",'Semana 1'!$L71+0.014,IF(G71="AGENTE CIERRE",'Semana 1'!$L71+0.014," - ")))))</f>
        <v>9:05</v>
      </c>
      <c r="N71" s="24">
        <v>0.6458333333333334</v>
      </c>
      <c r="O71" s="24" t="str">
        <f>IF(G71="AGENTE",'Semana 1'!$N71+0.007,IF(G71="REDES",'Semana 1'!$N71+0.007,IF(G71="AGENTE RM",'Semana 1'!$N71+0.007,IF(G71="AGENTE APERTURA",'Semana 1'!$N71+0.007,IF(G71="AGENTE CIERRE",'Semana 1'!$N71+0.007," - ")))))</f>
        <v>15:40</v>
      </c>
      <c r="P71" s="25" t="str">
        <f t="shared" si="2"/>
        <v>8.0</v>
      </c>
      <c r="Q71" s="24">
        <v>0.4583333333333333</v>
      </c>
      <c r="R71" s="24" t="str">
        <f t="shared" si="96"/>
        <v>16:00</v>
      </c>
      <c r="S71" s="24"/>
      <c r="T71" s="24"/>
      <c r="U71" s="24">
        <v>0.5</v>
      </c>
      <c r="V71" s="24" t="str">
        <f t="shared" si="97"/>
        <v>12:30</v>
      </c>
      <c r="W71" s="24"/>
      <c r="X71" s="24"/>
      <c r="Y71" s="25" t="str">
        <f t="shared" si="98"/>
        <v>5.0</v>
      </c>
      <c r="Z71" s="25" t="str">
        <f t="shared" ref="Z71:AC71" si="100">$P71</f>
        <v>8.0</v>
      </c>
      <c r="AA71" s="25" t="str">
        <f t="shared" si="100"/>
        <v>8.0</v>
      </c>
      <c r="AB71" s="25" t="str">
        <f t="shared" si="100"/>
        <v>8.0</v>
      </c>
      <c r="AC71" s="25" t="str">
        <f t="shared" si="100"/>
        <v>8.0</v>
      </c>
      <c r="AD71" s="27" t="str">
        <f t="shared" si="4"/>
        <v>45</v>
      </c>
    </row>
    <row r="72" ht="15.75" customHeight="1">
      <c r="B72" s="18">
        <v>70.0</v>
      </c>
      <c r="C72" s="18" t="s">
        <v>38</v>
      </c>
      <c r="D72" s="19"/>
      <c r="E72" s="20" t="str">
        <f>Personal!G72</f>
        <v>Erick Alejandro Avea Rivera</v>
      </c>
      <c r="F72" s="20"/>
      <c r="G72" s="20" t="str">
        <f>Personal!H72</f>
        <v>AGENTE</v>
      </c>
      <c r="H72" s="24">
        <v>0.4166666666666667</v>
      </c>
      <c r="I72" s="24" t="str">
        <f t="shared" si="95"/>
        <v>19:00</v>
      </c>
      <c r="J72" s="24">
        <v>0.625</v>
      </c>
      <c r="K72" s="24" t="str">
        <f>IF(G72="AGENTE",'Semana 1'!$J72+0.042,IF(G72="REDES",'Semana 1'!$J72+0.042,IF(G72="AGENTE RM",'Semana 1'!$J72+0.042,IF(G72="AGENTE APERTURA",'Semana 1'!$J72+0.021,IF(G72="AGENTE CIERRE",'Semana 1'!$J72+0.021," - ")))))</f>
        <v>16:00</v>
      </c>
      <c r="L72" s="24">
        <v>0.4791666666666667</v>
      </c>
      <c r="M72" s="24" t="str">
        <f>IF(G72="AGENTE",'Semana 1'!$L72+0.014,IF(G72="REDES",'Semana 1'!$L72+0.014,IF(G72="AGENTE RM",'Semana 1'!$L72+0.014,IF(G72="AGENTE APERTURA",'Semana 1'!$L72+0.014,IF(G72="AGENTE CIERRE",'Semana 1'!$L72+0.014," - ")))))</f>
        <v>11:50</v>
      </c>
      <c r="N72" s="24">
        <v>0.6979166666666666</v>
      </c>
      <c r="O72" s="24" t="str">
        <f>IF(G72="AGENTE",'Semana 1'!$N72+0.007,IF(G72="REDES",'Semana 1'!$N72+0.007,IF(G72="AGENTE RM",'Semana 1'!$N72+0.007,IF(G72="AGENTE APERTURA",'Semana 1'!$N72+0.007,IF(G72="AGENTE CIERRE",'Semana 1'!$N72+0.007," - ")))))</f>
        <v>16:55</v>
      </c>
      <c r="P72" s="25" t="str">
        <f t="shared" si="2"/>
        <v>8.0</v>
      </c>
      <c r="Q72" s="24">
        <v>0.5</v>
      </c>
      <c r="R72" s="24" t="str">
        <f t="shared" si="96"/>
        <v>17:00</v>
      </c>
      <c r="S72" s="24"/>
      <c r="T72" s="24"/>
      <c r="U72" s="24">
        <v>0.5833333333333334</v>
      </c>
      <c r="V72" s="24" t="str">
        <f t="shared" si="97"/>
        <v>14:30</v>
      </c>
      <c r="W72" s="24"/>
      <c r="X72" s="24"/>
      <c r="Y72" s="25" t="str">
        <f t="shared" si="98"/>
        <v>5.0</v>
      </c>
      <c r="Z72" s="25" t="str">
        <f t="shared" ref="Z72:AC72" si="101">$P72</f>
        <v>8.0</v>
      </c>
      <c r="AA72" s="25" t="str">
        <f t="shared" si="101"/>
        <v>8.0</v>
      </c>
      <c r="AB72" s="25" t="str">
        <f t="shared" si="101"/>
        <v>8.0</v>
      </c>
      <c r="AC72" s="25" t="str">
        <f t="shared" si="101"/>
        <v>8.0</v>
      </c>
      <c r="AD72" s="23" t="str">
        <f t="shared" si="4"/>
        <v>45</v>
      </c>
    </row>
    <row r="73" ht="15.75" customHeight="1">
      <c r="B73" s="18">
        <v>71.0</v>
      </c>
      <c r="C73" s="18" t="s">
        <v>38</v>
      </c>
      <c r="D73" s="19"/>
      <c r="E73" s="20" t="str">
        <f>Personal!G73</f>
        <v>Johanna Elizabeth Rodriguez Bustamante</v>
      </c>
      <c r="F73" s="20"/>
      <c r="G73" s="20" t="str">
        <f>Personal!H73</f>
        <v>AGENTE</v>
      </c>
      <c r="H73" s="24">
        <v>0.3333333333333333</v>
      </c>
      <c r="I73" s="24" t="str">
        <f t="shared" si="95"/>
        <v>17:00</v>
      </c>
      <c r="J73" s="24">
        <v>0.5416666666666666</v>
      </c>
      <c r="K73" s="24" t="str">
        <f>IF(G73="AGENTE",'Semana 1'!$J73+0.042,IF(G73="REDES",'Semana 1'!$J73+0.042,IF(G73="AGENTE RM",'Semana 1'!$J73+0.042,IF(G73="AGENTE APERTURA",'Semana 1'!$J73+0.021,IF(G73="AGENTE CIERRE",'Semana 1'!$J73+0.021," - ")))))</f>
        <v>14:00</v>
      </c>
      <c r="L73" s="24">
        <v>0.40625</v>
      </c>
      <c r="M73" s="24" t="str">
        <f>IF(G73="AGENTE",'Semana 1'!$L73+0.014,IF(G73="REDES",'Semana 1'!$L73+0.014,IF(G73="AGENTE RM",'Semana 1'!$L73+0.014,IF(G73="AGENTE APERTURA",'Semana 1'!$L73+0.014,IF(G73="AGENTE CIERRE",'Semana 1'!$L73+0.014," - ")))))</f>
        <v>10:05</v>
      </c>
      <c r="N73" s="24">
        <v>0.6770833333333334</v>
      </c>
      <c r="O73" s="24" t="str">
        <f>IF(G73="AGENTE",'Semana 1'!$N73+0.007,IF(G73="REDES",'Semana 1'!$N73+0.007,IF(G73="AGENTE RM",'Semana 1'!$N73+0.007,IF(G73="AGENTE APERTURA",'Semana 1'!$N73+0.007,IF(G73="AGENTE CIERRE",'Semana 1'!$N73+0.007," - ")))))</f>
        <v>16:25</v>
      </c>
      <c r="P73" s="25" t="str">
        <f t="shared" si="2"/>
        <v>8.0</v>
      </c>
      <c r="Q73" s="24">
        <v>0.5416666666666666</v>
      </c>
      <c r="R73" s="24" t="str">
        <f t="shared" si="96"/>
        <v>18:00</v>
      </c>
      <c r="S73" s="24"/>
      <c r="T73" s="24"/>
      <c r="U73" s="24">
        <v>0.625</v>
      </c>
      <c r="V73" s="24" t="str">
        <f t="shared" si="97"/>
        <v>15:30</v>
      </c>
      <c r="W73" s="24"/>
      <c r="X73" s="24"/>
      <c r="Y73" s="25" t="str">
        <f t="shared" si="98"/>
        <v>5.0</v>
      </c>
      <c r="Z73" s="25" t="str">
        <f t="shared" ref="Z73:AC73" si="102">$P73</f>
        <v>8.0</v>
      </c>
      <c r="AA73" s="25" t="str">
        <f t="shared" si="102"/>
        <v>8.0</v>
      </c>
      <c r="AB73" s="25" t="str">
        <f t="shared" si="102"/>
        <v>8.0</v>
      </c>
      <c r="AC73" s="25" t="str">
        <f t="shared" si="102"/>
        <v>8.0</v>
      </c>
      <c r="AD73" s="27" t="str">
        <f t="shared" si="4"/>
        <v>45</v>
      </c>
    </row>
    <row r="74" ht="15.75" customHeight="1">
      <c r="B74" s="18">
        <v>72.0</v>
      </c>
      <c r="C74" s="18" t="s">
        <v>38</v>
      </c>
      <c r="D74" s="19"/>
      <c r="E74" s="20" t="str">
        <f>Personal!G74</f>
        <v>Rosbin Omar Salazar Pacay</v>
      </c>
      <c r="F74" s="20"/>
      <c r="G74" s="20" t="str">
        <f>Personal!H74</f>
        <v>AGENTE</v>
      </c>
      <c r="H74" s="24">
        <v>0.3333333333333333</v>
      </c>
      <c r="I74" s="24" t="str">
        <f t="shared" si="95"/>
        <v>17:00</v>
      </c>
      <c r="J74" s="24">
        <v>0.5833333333333334</v>
      </c>
      <c r="K74" s="24" t="str">
        <f>IF(G74="AGENTE",'Semana 1'!$J74+0.042,IF(G74="REDES",'Semana 1'!$J74+0.042,IF(G74="AGENTE RM",'Semana 1'!$J74+0.042,IF(G74="AGENTE APERTURA",'Semana 1'!$J74+0.021,IF(G74="AGENTE CIERRE",'Semana 1'!$J74+0.021," - ")))))</f>
        <v>15:00</v>
      </c>
      <c r="L74" s="24">
        <v>0.3958333333333333</v>
      </c>
      <c r="M74" s="24" t="str">
        <f>IF(G74="AGENTE",'Semana 1'!$L74+0.014,IF(G74="REDES",'Semana 1'!$L74+0.014,IF(G74="AGENTE RM",'Semana 1'!$L74+0.014,IF(G74="AGENTE APERTURA",'Semana 1'!$L74+0.014,IF(G74="AGENTE CIERRE",'Semana 1'!$L74+0.014," - ")))))</f>
        <v>9:50</v>
      </c>
      <c r="N74" s="24">
        <v>0.6666666666666666</v>
      </c>
      <c r="O74" s="24" t="str">
        <f>IF(G74="AGENTE",'Semana 1'!$N74+0.007,IF(G74="REDES",'Semana 1'!$N74+0.007,IF(G74="AGENTE RM",'Semana 1'!$N74+0.007,IF(G74="AGENTE APERTURA",'Semana 1'!$N74+0.007,IF(G74="AGENTE CIERRE",'Semana 1'!$N74+0.007," - ")))))</f>
        <v>16:10</v>
      </c>
      <c r="P74" s="25" t="str">
        <f t="shared" si="2"/>
        <v>8.0</v>
      </c>
      <c r="Q74" s="24">
        <v>0.5416666666666666</v>
      </c>
      <c r="R74" s="24" t="str">
        <f t="shared" si="96"/>
        <v>18:00</v>
      </c>
      <c r="S74" s="24"/>
      <c r="T74" s="24"/>
      <c r="U74" s="24">
        <v>0.6041666666666666</v>
      </c>
      <c r="V74" s="24" t="str">
        <f t="shared" si="97"/>
        <v>15:00</v>
      </c>
      <c r="W74" s="24"/>
      <c r="X74" s="24"/>
      <c r="Y74" s="25" t="str">
        <f t="shared" si="98"/>
        <v>5.0</v>
      </c>
      <c r="Z74" s="25" t="str">
        <f t="shared" ref="Z74:AC74" si="103">$P74</f>
        <v>8.0</v>
      </c>
      <c r="AA74" s="25" t="str">
        <f t="shared" si="103"/>
        <v>8.0</v>
      </c>
      <c r="AB74" s="25" t="str">
        <f t="shared" si="103"/>
        <v>8.0</v>
      </c>
      <c r="AC74" s="25" t="str">
        <f t="shared" si="103"/>
        <v>8.0</v>
      </c>
      <c r="AD74" s="23" t="str">
        <f t="shared" si="4"/>
        <v>45</v>
      </c>
    </row>
    <row r="75" ht="15.75" customHeight="1">
      <c r="B75" s="18">
        <v>73.0</v>
      </c>
      <c r="C75" s="18" t="s">
        <v>38</v>
      </c>
      <c r="D75" s="19"/>
      <c r="E75" s="20" t="str">
        <f>Personal!G75</f>
        <v>-</v>
      </c>
      <c r="F75" s="20"/>
      <c r="G75" s="20" t="s">
        <v>41</v>
      </c>
      <c r="H75" s="24"/>
      <c r="I75" s="24"/>
      <c r="J75" s="24"/>
      <c r="K75" s="24" t="str">
        <f>IF(G75="AGENTE",'Semana 1'!$J75+0.042,IF(G75="REDES",'Semana 1'!$J75+0.042,IF(G75="AGENTE RM",'Semana 1'!$J75+0.042,IF(G75="AGENTE APERTURA",'Semana 1'!$J75+0.021,IF(G75="AGENTE CIERRE",'Semana 1'!$J75+0.021," - ")))))</f>
        <v> - </v>
      </c>
      <c r="L75" s="24"/>
      <c r="M75" s="24" t="str">
        <f>IF(G75="AGENTE",'Semana 1'!$L75+0.014,IF(G75="REDES",'Semana 1'!$L75+0.014,IF(G75="AGENTE RM",'Semana 1'!$L75+0.014,IF(G75="AGENTE APERTURA",'Semana 1'!$L75+0.014,IF(G75="AGENTE CIERRE",'Semana 1'!$L75+0.014," - ")))))</f>
        <v> - </v>
      </c>
      <c r="N75" s="24"/>
      <c r="O75" s="24" t="str">
        <f>IF(G75="AGENTE",'Semana 1'!$N75+0.007,IF(G75="REDES",'Semana 1'!$N75+0.007,IF(G75="AGENTE RM",'Semana 1'!$N75+0.007,IF(G75="AGENTE APERTURA",'Semana 1'!$N75+0.007,IF(G75="AGENTE CIERRE",'Semana 1'!$N75+0.007," - ")))))</f>
        <v> - </v>
      </c>
      <c r="P75" s="25" t="str">
        <f t="shared" si="2"/>
        <v>-1.0</v>
      </c>
      <c r="Q75" s="24"/>
      <c r="R75" s="24"/>
      <c r="S75" s="24"/>
      <c r="T75" s="24" t="str">
        <f>IF(G75="AGENTE",'Semana 1'!$S75+0.042,IF(G75="REDES",'Semana 1'!$S75+0.042,IF(G75="AGENTE RM",'Semana 1'!$S75+0.042,IF(G75="AGENTE APERTURA",'Semana 1'!$S75+0.021,IF(G75="AGENTE CIERRE",'Semana 1'!$S75+0.021," - ")))))</f>
        <v> - </v>
      </c>
      <c r="U75" s="24"/>
      <c r="V75" s="24"/>
      <c r="W75" s="24"/>
      <c r="X75" s="24"/>
      <c r="Y75" s="25" t="str">
        <f t="shared" si="98"/>
        <v>0.0</v>
      </c>
      <c r="Z75" s="25" t="str">
        <f t="shared" ref="Z75:AC75" si="104">$P75</f>
        <v>-1.0</v>
      </c>
      <c r="AA75" s="25" t="str">
        <f t="shared" si="104"/>
        <v>-1.0</v>
      </c>
      <c r="AB75" s="25" t="str">
        <f t="shared" si="104"/>
        <v>-1.0</v>
      </c>
      <c r="AC75" s="25" t="str">
        <f t="shared" si="104"/>
        <v>-1.0</v>
      </c>
      <c r="AD75" s="27" t="str">
        <f t="shared" si="4"/>
        <v>-5</v>
      </c>
    </row>
    <row r="76" ht="15.75" customHeight="1">
      <c r="B76" s="18">
        <v>74.0</v>
      </c>
      <c r="C76" s="18" t="s">
        <v>38</v>
      </c>
      <c r="D76" s="19"/>
      <c r="E76" s="20" t="str">
        <f>Personal!G76</f>
        <v>Cristian Manuel Lopez Chavez</v>
      </c>
      <c r="F76" s="20"/>
      <c r="G76" s="20" t="str">
        <f>Personal!H76</f>
        <v>AGENTE</v>
      </c>
      <c r="H76" s="24">
        <v>0.2916666666666667</v>
      </c>
      <c r="I76" s="24" t="str">
        <f>IF(H76=0," ",IF(Q76=0,(H76+0.417),(H76+0.3756)))</f>
        <v>16:00</v>
      </c>
      <c r="J76" s="24">
        <v>0.5</v>
      </c>
      <c r="K76" s="24" t="str">
        <f>IF(G76="AGENTE",'Semana 1'!$J76+0.042,IF(G76="REDES",'Semana 1'!$J76+0.042,IF(G76="AGENTE RM",'Semana 1'!$J76+0.042,IF(G76="AGENTE APERTURA",'Semana 1'!$J76+0.021,IF(G76="AGENTE CIERRE",'Semana 1'!$J76+0.021," - ")))))</f>
        <v>13:00</v>
      </c>
      <c r="L76" s="24">
        <v>0.3645833333333333</v>
      </c>
      <c r="M76" s="24" t="str">
        <f>IF(G76="AGENTE",'Semana 1'!$L76+0.014,IF(G76="REDES",'Semana 1'!$L76+0.014,IF(G76="AGENTE RM",'Semana 1'!$L76+0.014,IF(G76="AGENTE APERTURA",'Semana 1'!$L76+0.014,IF(G76="AGENTE CIERRE",'Semana 1'!$L76+0.014," - ")))))</f>
        <v>9:05</v>
      </c>
      <c r="N76" s="24">
        <v>0.6458333333333334</v>
      </c>
      <c r="O76" s="24" t="str">
        <f>IF(G76="AGENTE",'Semana 1'!$N76+0.007,IF(G76="REDES",'Semana 1'!$N76+0.007,IF(G76="AGENTE RM",'Semana 1'!$N76+0.007,IF(G76="AGENTE APERTURA",'Semana 1'!$N76+0.007,IF(G76="AGENTE CIERRE",'Semana 1'!$N76+0.007," - ")))))</f>
        <v>15:40</v>
      </c>
      <c r="P76" s="25" t="str">
        <f t="shared" si="2"/>
        <v>8.0</v>
      </c>
      <c r="Q76" s="24">
        <v>0.5</v>
      </c>
      <c r="R76" s="24" t="str">
        <f>IF(Q76=0,"",Q76+0.209)</f>
        <v>17:00</v>
      </c>
      <c r="S76" s="24"/>
      <c r="T76" s="24"/>
      <c r="U76" s="24">
        <v>0.5</v>
      </c>
      <c r="V76" s="24" t="str">
        <f>IF(U76=0,"",U76+0.021)</f>
        <v>12:30</v>
      </c>
      <c r="W76" s="24"/>
      <c r="X76" s="24"/>
      <c r="Y76" s="25" t="str">
        <f t="shared" si="98"/>
        <v>5.0</v>
      </c>
      <c r="Z76" s="25" t="str">
        <f t="shared" ref="Z76:AC76" si="105">$P76</f>
        <v>8.0</v>
      </c>
      <c r="AA76" s="25" t="str">
        <f t="shared" si="105"/>
        <v>8.0</v>
      </c>
      <c r="AB76" s="25" t="str">
        <f t="shared" si="105"/>
        <v>8.0</v>
      </c>
      <c r="AC76" s="25" t="str">
        <f t="shared" si="105"/>
        <v>8.0</v>
      </c>
      <c r="AD76" s="23" t="str">
        <f t="shared" si="4"/>
        <v>45</v>
      </c>
    </row>
    <row r="77" ht="15.75" customHeight="1">
      <c r="B77" s="18">
        <v>75.0</v>
      </c>
      <c r="C77" s="18" t="s">
        <v>38</v>
      </c>
      <c r="D77" s="19"/>
      <c r="E77" s="20" t="str">
        <f>Personal!G77</f>
        <v>-</v>
      </c>
      <c r="F77" s="20"/>
      <c r="G77" s="20" t="s">
        <v>41</v>
      </c>
      <c r="H77" s="24"/>
      <c r="I77" s="24"/>
      <c r="J77" s="24"/>
      <c r="K77" s="24" t="str">
        <f>IF(G77="AGENTE",'Semana 1'!$J77+0.042,IF(G77="REDES",'Semana 1'!$J77+0.042,IF(G77="AGENTE RM",'Semana 1'!$J77+0.042,IF(G77="AGENTE APERTURA",'Semana 1'!$J77+0.021,IF(G77="AGENTE CIERRE",'Semana 1'!$J77+0.021," - ")))))</f>
        <v> - </v>
      </c>
      <c r="L77" s="24"/>
      <c r="M77" s="24" t="str">
        <f>IF(G77="AGENTE",'Semana 1'!$L77+0.014,IF(G77="REDES",'Semana 1'!$L77+0.014,IF(G77="AGENTE RM",'Semana 1'!$L77+0.014,IF(G77="AGENTE APERTURA",'Semana 1'!$L77+0.014,IF(G77="AGENTE CIERRE",'Semana 1'!$L77+0.014," - ")))))</f>
        <v> - </v>
      </c>
      <c r="N77" s="24"/>
      <c r="O77" s="24" t="str">
        <f>IF(G77="AGENTE",'Semana 1'!$N77+0.007,IF(G77="REDES",'Semana 1'!$N77+0.007,IF(G77="AGENTE RM",'Semana 1'!$N77+0.007,IF(G77="AGENTE APERTURA",'Semana 1'!$N77+0.007,IF(G77="AGENTE CIERRE",'Semana 1'!$N77+0.007," - ")))))</f>
        <v> - </v>
      </c>
      <c r="P77" s="25" t="str">
        <f t="shared" si="2"/>
        <v>-1.0</v>
      </c>
      <c r="Q77" s="24"/>
      <c r="R77" s="24"/>
      <c r="S77" s="24"/>
      <c r="T77" s="24" t="str">
        <f>IF(G77="AGENTE",'Semana 1'!$S77+0.042,IF(G77="REDES",'Semana 1'!$S77+0.042,IF(G77="AGENTE RM",'Semana 1'!$S77+0.042,IF(G77="AGENTE APERTURA",'Semana 1'!$S77+0.021,IF(G77="AGENTE CIERRE",'Semana 1'!$S77+0.021," - ")))))</f>
        <v> - </v>
      </c>
      <c r="U77" s="24"/>
      <c r="V77" s="24"/>
      <c r="W77" s="24"/>
      <c r="X77" s="24"/>
      <c r="Y77" s="25" t="str">
        <f t="shared" si="98"/>
        <v>0.0</v>
      </c>
      <c r="Z77" s="25" t="str">
        <f t="shared" ref="Z77:AC77" si="106">$P77</f>
        <v>-1.0</v>
      </c>
      <c r="AA77" s="25" t="str">
        <f t="shared" si="106"/>
        <v>-1.0</v>
      </c>
      <c r="AB77" s="25" t="str">
        <f t="shared" si="106"/>
        <v>-1.0</v>
      </c>
      <c r="AC77" s="25" t="str">
        <f t="shared" si="106"/>
        <v>-1.0</v>
      </c>
      <c r="AD77" s="27" t="str">
        <f t="shared" si="4"/>
        <v>-5</v>
      </c>
    </row>
    <row r="78" ht="15.75" customHeight="1">
      <c r="B78" s="18">
        <v>76.0</v>
      </c>
      <c r="C78" s="18" t="s">
        <v>38</v>
      </c>
      <c r="D78" s="19"/>
      <c r="E78" s="20" t="str">
        <f>Personal!G78</f>
        <v>Melanee Sucely Lopez Castro</v>
      </c>
      <c r="F78" s="20"/>
      <c r="G78" s="20" t="str">
        <f>Personal!H78</f>
        <v>AGENTE</v>
      </c>
      <c r="H78" s="24">
        <v>0.3125</v>
      </c>
      <c r="I78" s="24" t="str">
        <f t="shared" ref="I78:I79" si="108">IF(H78=0," ",IF(Q78=0,(H78+0.417),(H78+0.3756)))</f>
        <v>16:30</v>
      </c>
      <c r="J78" s="24">
        <v>0.5416666666666666</v>
      </c>
      <c r="K78" s="24" t="str">
        <f>IF(G78="AGENTE",'Semana 1'!$J78+0.042,IF(G78="REDES",'Semana 1'!$J78+0.042,IF(G78="AGENTE RM",'Semana 1'!$J78+0.042,IF(G78="AGENTE APERTURA",'Semana 1'!$J78+0.021,IF(G78="AGENTE CIERRE",'Semana 1'!$J78+0.021," - ")))))</f>
        <v>14:00</v>
      </c>
      <c r="L78" s="24">
        <v>0.3645833333333333</v>
      </c>
      <c r="M78" s="24" t="str">
        <f>IF(G78="AGENTE",'Semana 1'!$L78+0.014,IF(G78="REDES",'Semana 1'!$L78+0.014,IF(G78="AGENTE RM",'Semana 1'!$L78+0.014,IF(G78="AGENTE APERTURA",'Semana 1'!$L78+0.014,IF(G78="AGENTE CIERRE",'Semana 1'!$L78+0.014," - ")))))</f>
        <v>9:05</v>
      </c>
      <c r="N78" s="24">
        <v>0.625</v>
      </c>
      <c r="O78" s="24" t="str">
        <f>IF(G78="AGENTE",'Semana 1'!$N78+0.007,IF(G78="REDES",'Semana 1'!$N78+0.007,IF(G78="AGENTE RM",'Semana 1'!$N78+0.007,IF(G78="AGENTE APERTURA",'Semana 1'!$N78+0.007,IF(G78="AGENTE CIERRE",'Semana 1'!$N78+0.007," - ")))))</f>
        <v>15:10</v>
      </c>
      <c r="P78" s="25" t="str">
        <f t="shared" si="2"/>
        <v>8.0</v>
      </c>
      <c r="Q78" s="24">
        <v>0.3333333333333333</v>
      </c>
      <c r="R78" s="24" t="str">
        <f t="shared" ref="R78:R79" si="109">IF(Q78=0,"",Q78+0.209)</f>
        <v>13:00</v>
      </c>
      <c r="S78" s="24"/>
      <c r="T78" s="24"/>
      <c r="U78" s="24">
        <v>0.4166666666666667</v>
      </c>
      <c r="V78" s="24" t="str">
        <f t="shared" ref="V78:V79" si="110">IF(U78=0,"",U78+0.021)</f>
        <v>10:30</v>
      </c>
      <c r="W78" s="24"/>
      <c r="X78" s="24"/>
      <c r="Y78" s="25" t="str">
        <f t="shared" si="98"/>
        <v>5.0</v>
      </c>
      <c r="Z78" s="25" t="str">
        <f t="shared" ref="Z78:AC78" si="107">$P78</f>
        <v>8.0</v>
      </c>
      <c r="AA78" s="25" t="str">
        <f t="shared" si="107"/>
        <v>8.0</v>
      </c>
      <c r="AB78" s="25" t="str">
        <f t="shared" si="107"/>
        <v>8.0</v>
      </c>
      <c r="AC78" s="25" t="str">
        <f t="shared" si="107"/>
        <v>8.0</v>
      </c>
      <c r="AD78" s="23" t="str">
        <f t="shared" si="4"/>
        <v>45</v>
      </c>
    </row>
    <row r="79" ht="15.75" customHeight="1">
      <c r="B79" s="18">
        <v>77.0</v>
      </c>
      <c r="C79" s="18" t="s">
        <v>38</v>
      </c>
      <c r="D79" s="19"/>
      <c r="E79" s="20" t="str">
        <f>Personal!G79</f>
        <v>Byron Estuardo Grijalva Salguero</v>
      </c>
      <c r="F79" s="20"/>
      <c r="G79" s="20" t="str">
        <f>Personal!H79</f>
        <v>AGENTE</v>
      </c>
      <c r="H79" s="24">
        <v>0.375</v>
      </c>
      <c r="I79" s="24" t="str">
        <f t="shared" si="108"/>
        <v>18:00</v>
      </c>
      <c r="J79" s="24">
        <v>0.5833333333333334</v>
      </c>
      <c r="K79" s="24" t="str">
        <f>IF(G79="AGENTE",'Semana 1'!$J79+0.042,IF(G79="REDES",'Semana 1'!$J79+0.042,IF(G79="AGENTE RM",'Semana 1'!$J79+0.042,IF(G79="AGENTE APERTURA",'Semana 1'!$J79+0.021,IF(G79="AGENTE CIERRE",'Semana 1'!$J79+0.021," - ")))))</f>
        <v>15:00</v>
      </c>
      <c r="L79" s="24">
        <v>0.40625</v>
      </c>
      <c r="M79" s="24" t="str">
        <f>IF(G79="AGENTE",'Semana 1'!$L79+0.014,IF(G79="REDES",'Semana 1'!$L79+0.014,IF(G79="AGENTE RM",'Semana 1'!$L79+0.014,IF(G79="AGENTE APERTURA",'Semana 1'!$L79+0.014,IF(G79="AGENTE CIERRE",'Semana 1'!$L79+0.014," - ")))))</f>
        <v>10:05</v>
      </c>
      <c r="N79" s="24">
        <v>0.6979166666666666</v>
      </c>
      <c r="O79" s="24" t="str">
        <f>IF(G79="AGENTE",'Semana 1'!$N79+0.007,IF(G79="REDES",'Semana 1'!$N79+0.007,IF(G79="AGENTE RM",'Semana 1'!$N79+0.007,IF(G79="AGENTE APERTURA",'Semana 1'!$N79+0.007,IF(G79="AGENTE CIERRE",'Semana 1'!$N79+0.007," - ")))))</f>
        <v>16:55</v>
      </c>
      <c r="P79" s="25" t="str">
        <f t="shared" si="2"/>
        <v>8.0</v>
      </c>
      <c r="Q79" s="24">
        <v>0.2916666666666667</v>
      </c>
      <c r="R79" s="24" t="str">
        <f t="shared" si="109"/>
        <v>12:00</v>
      </c>
      <c r="S79" s="24"/>
      <c r="T79" s="24"/>
      <c r="U79" s="24">
        <v>0.3958333333333333</v>
      </c>
      <c r="V79" s="24" t="str">
        <f t="shared" si="110"/>
        <v>10:00</v>
      </c>
      <c r="W79" s="24"/>
      <c r="X79" s="24"/>
      <c r="Y79" s="25" t="str">
        <f t="shared" si="98"/>
        <v>5.0</v>
      </c>
      <c r="Z79" s="25" t="str">
        <f t="shared" ref="Z79:AC79" si="111">$P79</f>
        <v>8.0</v>
      </c>
      <c r="AA79" s="25" t="str">
        <f t="shared" si="111"/>
        <v>8.0</v>
      </c>
      <c r="AB79" s="25" t="str">
        <f t="shared" si="111"/>
        <v>8.0</v>
      </c>
      <c r="AC79" s="25" t="str">
        <f t="shared" si="111"/>
        <v>8.0</v>
      </c>
      <c r="AD79" s="27" t="str">
        <f t="shared" si="4"/>
        <v>45</v>
      </c>
    </row>
    <row r="80" ht="15.75" customHeight="1">
      <c r="B80" s="18">
        <v>78.0</v>
      </c>
      <c r="C80" s="18" t="s">
        <v>38</v>
      </c>
      <c r="D80" s="19"/>
      <c r="E80" s="20" t="str">
        <f>Personal!G80</f>
        <v>Katherine Johana Chavez Deleon</v>
      </c>
      <c r="F80" s="20"/>
      <c r="G80" s="20" t="str">
        <f>Personal!H80</f>
        <v>AGENTE CIERRE</v>
      </c>
      <c r="H80" s="24">
        <v>0.6666666666666666</v>
      </c>
      <c r="I80" s="24">
        <v>0.9583333333333334</v>
      </c>
      <c r="J80" s="24">
        <v>0.9166666666666666</v>
      </c>
      <c r="K80" s="24" t="str">
        <f>IF(G80="AGENTE",'Semana 1'!$J80+0.042,IF(G80="REDES",'Semana 1'!$J80+0.042,IF(G80="AGENTE RM",'Semana 1'!$J80+0.042,IF(G80="AGENTE APERTURA",'Semana 1'!$J80+0.021,IF(G80="AGENTE CIERRE",'Semana 1'!$J80+0.021," - ")))))</f>
        <v>22:30</v>
      </c>
      <c r="L80" s="24">
        <v>0.9375</v>
      </c>
      <c r="M80" s="24" t="str">
        <f>IF(G80="AGENTE",'Semana 1'!$L80+0.014,IF(G80="REDES",'Semana 1'!$L80+0.014,IF(G80="AGENTE RM",'Semana 1'!$L80+0.014,IF(G80="AGENTE APERTURA",'Semana 1'!$L80+0.014,IF(G80="AGENTE CIERRE",'Semana 1'!$L80+0.014," - ")))))</f>
        <v>22:50</v>
      </c>
      <c r="N80" s="24">
        <v>0.9513888888888888</v>
      </c>
      <c r="O80" s="24" t="str">
        <f>IF(G80="AGENTE",'Semana 1'!$N80+0.007,IF(G80="REDES",'Semana 1'!$N80+0.007,IF(G80="AGENTE RM",'Semana 1'!$N80+0.007,IF(G80="AGENTE APERTURA",'Semana 1'!$N80+0.007,IF(G80="AGENTE CIERRE",'Semana 1'!$N80+0.007," - ")))))</f>
        <v>23:00</v>
      </c>
      <c r="P80" s="25" t="str">
        <f t="shared" si="2"/>
        <v>6.0</v>
      </c>
      <c r="Q80" s="24">
        <v>0.6666666666666666</v>
      </c>
      <c r="R80" s="24">
        <v>0.9583333333333334</v>
      </c>
      <c r="S80" s="24">
        <v>0.9166666666666666</v>
      </c>
      <c r="T80" s="24">
        <v>0.9376666666666666</v>
      </c>
      <c r="U80" s="24">
        <v>0.9375</v>
      </c>
      <c r="V80" s="24">
        <v>0.9515</v>
      </c>
      <c r="W80" s="24">
        <v>0.9513888888888888</v>
      </c>
      <c r="X80" s="24">
        <v>0.9583888888888888</v>
      </c>
      <c r="Y80" s="25" t="str">
        <f>(IFERROR(R80-Q80,0)*24)-1</f>
        <v>6.0</v>
      </c>
      <c r="Z80" s="25" t="str">
        <f t="shared" ref="Z80:AC80" si="112">$P80</f>
        <v>6.0</v>
      </c>
      <c r="AA80" s="25" t="str">
        <f t="shared" si="112"/>
        <v>6.0</v>
      </c>
      <c r="AB80" s="25" t="str">
        <f t="shared" si="112"/>
        <v>6.0</v>
      </c>
      <c r="AC80" s="25" t="str">
        <f t="shared" si="112"/>
        <v>6.0</v>
      </c>
      <c r="AD80" s="23" t="str">
        <f t="shared" si="4"/>
        <v>36</v>
      </c>
    </row>
    <row r="81" ht="15.75" customHeight="1">
      <c r="B81" s="18">
        <v>79.0</v>
      </c>
      <c r="C81" s="18" t="s">
        <v>38</v>
      </c>
      <c r="D81" s="19"/>
      <c r="E81" s="20" t="str">
        <f>Personal!G81</f>
        <v>Cinthia Marbelly Lopez Zelada</v>
      </c>
      <c r="F81" s="20"/>
      <c r="G81" s="20" t="str">
        <f>Personal!H81</f>
        <v>AGENTE</v>
      </c>
      <c r="H81" s="24">
        <v>0.375</v>
      </c>
      <c r="I81" s="24" t="str">
        <f t="shared" ref="I81:I87" si="114">IF(H81=0," ",IF(Q81=0,(H81+0.417),(H81+0.3756)))</f>
        <v>18:00</v>
      </c>
      <c r="J81" s="24">
        <v>0.5833333333333334</v>
      </c>
      <c r="K81" s="24" t="str">
        <f>IF(G81="AGENTE",'Semana 1'!$J81+0.042,IF(G81="REDES",'Semana 1'!$J81+0.042,IF(G81="AGENTE RM",'Semana 1'!$J81+0.042,IF(G81="AGENTE APERTURA",'Semana 1'!$J81+0.021,IF(G81="AGENTE CIERRE",'Semana 1'!$J81+0.021," - ")))))</f>
        <v>15:00</v>
      </c>
      <c r="L81" s="24">
        <v>0.40625</v>
      </c>
      <c r="M81" s="24" t="str">
        <f>IF(G81="AGENTE",'Semana 1'!$L81+0.014,IF(G81="REDES",'Semana 1'!$L81+0.014,IF(G81="AGENTE RM",'Semana 1'!$L81+0.014,IF(G81="AGENTE APERTURA",'Semana 1'!$L81+0.014,IF(G81="AGENTE CIERRE",'Semana 1'!$L81+0.014," - ")))))</f>
        <v>10:05</v>
      </c>
      <c r="N81" s="24">
        <v>0.6979166666666666</v>
      </c>
      <c r="O81" s="24" t="str">
        <f>IF(G81="AGENTE",'Semana 1'!$N81+0.007,IF(G81="REDES",'Semana 1'!$N81+0.007,IF(G81="AGENTE RM",'Semana 1'!$N81+0.007,IF(G81="AGENTE APERTURA",'Semana 1'!$N81+0.007,IF(G81="AGENTE CIERRE",'Semana 1'!$N81+0.007," - ")))))</f>
        <v>16:55</v>
      </c>
      <c r="P81" s="25" t="str">
        <f t="shared" si="2"/>
        <v>8.0</v>
      </c>
      <c r="Q81" s="24">
        <v>0.4583333333333333</v>
      </c>
      <c r="R81" s="24" t="str">
        <f t="shared" ref="R81:R85" si="115">IF(Q81=0,"",Q81+0.209)</f>
        <v>16:00</v>
      </c>
      <c r="S81" s="24"/>
      <c r="T81" s="24"/>
      <c r="U81" s="24">
        <v>0.5833333333333334</v>
      </c>
      <c r="V81" s="24" t="str">
        <f t="shared" ref="V81:V87" si="116">IF(U81=0,"",U81+0.021)</f>
        <v>14:30</v>
      </c>
      <c r="W81" s="24"/>
      <c r="X81" s="24"/>
      <c r="Y81" s="25" t="str">
        <f t="shared" ref="Y81:Y87" si="117">(IFERROR(R81-Q81,0)*24)</f>
        <v>5.0</v>
      </c>
      <c r="Z81" s="25" t="str">
        <f t="shared" ref="Z81:AC81" si="113">$P81</f>
        <v>8.0</v>
      </c>
      <c r="AA81" s="25" t="str">
        <f t="shared" si="113"/>
        <v>8.0</v>
      </c>
      <c r="AB81" s="25" t="str">
        <f t="shared" si="113"/>
        <v>8.0</v>
      </c>
      <c r="AC81" s="25" t="str">
        <f t="shared" si="113"/>
        <v>8.0</v>
      </c>
      <c r="AD81" s="27" t="str">
        <f t="shared" si="4"/>
        <v>45</v>
      </c>
    </row>
    <row r="82" ht="15.75" customHeight="1">
      <c r="B82" s="18">
        <v>80.0</v>
      </c>
      <c r="C82" s="18" t="s">
        <v>38</v>
      </c>
      <c r="D82" s="19"/>
      <c r="E82" s="19" t="str">
        <f>Personal!G59</f>
        <v>Ventura Glenda Paola Echeveria Perez</v>
      </c>
      <c r="F82" s="19" t="s">
        <v>13</v>
      </c>
      <c r="G82" s="19" t="str">
        <f>Personal!H59</f>
        <v>AGENTE RM</v>
      </c>
      <c r="H82" s="51">
        <v>0.3333333333333333</v>
      </c>
      <c r="I82" s="51" t="str">
        <f t="shared" si="114"/>
        <v>17:00</v>
      </c>
      <c r="J82" s="51">
        <v>0.5416666666666666</v>
      </c>
      <c r="K82" s="51" t="str">
        <f>IF(G82="AGENTE",'Semana 1'!$J82+0.042,IF(G82="REDES",'Semana 1'!$J82+0.042,IF(G82="AGENTE RM",'Semana 1'!$J82+0.042,IF(G82="AGENTE APERTURA",'Semana 1'!$J82+0.021,IF(G82="AGENTE CIERRE",'Semana 1'!$J82+0.021," - ")))))</f>
        <v>1:00</v>
      </c>
      <c r="L82" s="51">
        <v>0.3958333333333333</v>
      </c>
      <c r="M82" s="51" t="str">
        <f>IF(G82="AGENTE",'Semana 1'!$L82+0.014,IF(G82="REDES",'Semana 1'!$L82+0.014,IF(G82="AGENTE RM",'Semana 1'!$L82+0.014,IF(G82="AGENTE APERTURA",'Semana 1'!$L82+0.014,IF(G82="AGENTE CIERRE",'Semana 1'!$L82+0.014," - ")))))</f>
        <v>0:20</v>
      </c>
      <c r="N82" s="51">
        <v>0.7291666666666666</v>
      </c>
      <c r="O82" s="51" t="str">
        <f>IF(G82="AGENTE",'Semana 1'!$N82+0.007,IF(G82="REDES",'Semana 1'!$N82+0.007,IF(G82="AGENTE RM",'Semana 1'!$N82+0.007,IF(G82="AGENTE APERTURA",'Semana 1'!$N82+0.007,IF(G82="AGENTE CIERRE",'Semana 1'!$N82+0.007," - ")))))</f>
        <v>0:10</v>
      </c>
      <c r="P82" s="52" t="str">
        <f t="shared" si="2"/>
        <v>8.0</v>
      </c>
      <c r="Q82" s="51">
        <v>0.3333333333333333</v>
      </c>
      <c r="R82" s="51" t="str">
        <f t="shared" si="115"/>
        <v>13:00</v>
      </c>
      <c r="S82" s="53"/>
      <c r="T82" s="53"/>
      <c r="U82" s="51">
        <v>0.375</v>
      </c>
      <c r="V82" s="51" t="str">
        <f t="shared" si="116"/>
        <v>9:30</v>
      </c>
      <c r="W82" s="53"/>
      <c r="X82" s="53"/>
      <c r="Y82" s="52" t="str">
        <f t="shared" si="117"/>
        <v>5.0</v>
      </c>
      <c r="Z82" s="52" t="str">
        <f t="shared" ref="Z82:AC82" si="118">$P82</f>
        <v>8.0</v>
      </c>
      <c r="AA82" s="52" t="str">
        <f t="shared" si="118"/>
        <v>8.0</v>
      </c>
      <c r="AB82" s="52" t="str">
        <f t="shared" si="118"/>
        <v>8.0</v>
      </c>
      <c r="AC82" s="52" t="str">
        <f t="shared" si="118"/>
        <v>8.0</v>
      </c>
      <c r="AD82" s="23"/>
    </row>
    <row r="83" ht="15.75" customHeight="1">
      <c r="E83" s="19" t="str">
        <f>Personal!G60</f>
        <v>Oscar Rene Ovalle Letran</v>
      </c>
      <c r="F83" s="19" t="s">
        <v>13</v>
      </c>
      <c r="G83" s="19" t="str">
        <f>Personal!H60</f>
        <v>SOPORTE</v>
      </c>
      <c r="H83" s="54"/>
      <c r="I83" s="54" t="str">
        <f t="shared" si="114"/>
        <v> </v>
      </c>
      <c r="J83" s="54"/>
      <c r="K83" s="54" t="str">
        <f>IF(G83="AGENTE",'Semana 1'!$J83+0.042,IF(G83="REDES",'Semana 1'!$J83+0.042,IF(G83="AGENTE RM",'Semana 1'!$J83+0.042,IF(G83="AGENTE APERTURA",'Semana 1'!$J83+0.021,IF(G83="AGENTE CIERRE",'Semana 1'!$J83+0.021," - ")))))</f>
        <v> - </v>
      </c>
      <c r="L83" s="54"/>
      <c r="M83" s="54" t="str">
        <f>IF(G83="AGENTE",'Semana 1'!$L83+0.014,IF(G83="REDES",'Semana 1'!$L83+0.014,IF(G83="AGENTE RM",'Semana 1'!$L83+0.014,IF(G83="AGENTE APERTURA",'Semana 1'!$L83+0.014,IF(G83="AGENTE CIERRE",'Semana 1'!$L83+0.014," - ")))))</f>
        <v> - </v>
      </c>
      <c r="N83" s="54"/>
      <c r="O83" s="54" t="str">
        <f>IF(G83="AGENTE",'Semana 1'!$N83+0.007,IF(G83="REDES",'Semana 1'!$N83+0.007,IF(G83="AGENTE RM",'Semana 1'!$N83+0.007,IF(G83="AGENTE APERTURA",'Semana 1'!$N83+0.007,IF(G83="AGENTE CIERRE",'Semana 1'!$N83+0.007," - ")))))</f>
        <v> - </v>
      </c>
      <c r="P83" s="55" t="str">
        <f t="shared" si="2"/>
        <v>-1.0</v>
      </c>
      <c r="Q83" s="54"/>
      <c r="R83" s="54" t="str">
        <f t="shared" si="115"/>
        <v/>
      </c>
      <c r="S83" s="54"/>
      <c r="T83" s="54" t="str">
        <f>IF(G83="AGENTE",'Semana 1'!$S83+0.042,IF(G83="REDES",'Semana 1'!$S83+0.042,IF(G83="AGENTE RM",'Semana 1'!$S83+0.042,IF(G83="AGENTE APERTURA",'Semana 1'!$S83+0.021,IF(G83="AGENTE CIERRE",'Semana 1'!$S83+0.021," - ")))))</f>
        <v> - </v>
      </c>
      <c r="U83" s="54"/>
      <c r="V83" s="54" t="str">
        <f t="shared" si="116"/>
        <v/>
      </c>
      <c r="W83" s="54"/>
      <c r="X83" s="54"/>
      <c r="Y83" s="55" t="str">
        <f t="shared" si="117"/>
        <v>0.0</v>
      </c>
      <c r="Z83" s="55" t="str">
        <f t="shared" ref="Z83:AC83" si="119">$P83</f>
        <v>-1.0</v>
      </c>
      <c r="AA83" s="55" t="str">
        <f t="shared" si="119"/>
        <v>-1.0</v>
      </c>
      <c r="AB83" s="55" t="str">
        <f t="shared" si="119"/>
        <v>-1.0</v>
      </c>
      <c r="AC83" s="55" t="str">
        <f t="shared" si="119"/>
        <v>-1.0</v>
      </c>
    </row>
    <row r="84" ht="15.75" customHeight="1">
      <c r="E84" s="19" t="str">
        <f>Personal!G61</f>
        <v>Mariela Edith Torres Figueroa</v>
      </c>
      <c r="F84" s="19" t="s">
        <v>13</v>
      </c>
      <c r="G84" s="19" t="str">
        <f>Personal!H61</f>
        <v>AGENTE</v>
      </c>
      <c r="H84" s="51">
        <v>0.3333333333333333</v>
      </c>
      <c r="I84" s="51" t="str">
        <f t="shared" si="114"/>
        <v>18:00</v>
      </c>
      <c r="J84" s="51">
        <v>0.5</v>
      </c>
      <c r="K84" s="51" t="str">
        <f>IF(G84="AGENTE",'Semana 1'!$J84+0.042,IF(G84="REDES",'Semana 1'!$J84+0.042,IF(G84="AGENTE RM",'Semana 1'!$J84+0.042,IF(G84="AGENTE APERTURA",'Semana 1'!$J84+0.021,IF(G84="AGENTE CIERRE",'Semana 1'!$J84+0.021," - ")))))</f>
        <v>1:00</v>
      </c>
      <c r="L84" s="51">
        <v>0.3854166666666667</v>
      </c>
      <c r="M84" s="51" t="str">
        <f>IF(G84="AGENTE",'Semana 1'!$L84+0.014,IF(G84="REDES",'Semana 1'!$L84+0.014,IF(G84="AGENTE RM",'Semana 1'!$L84+0.014,IF(G84="AGENTE APERTURA",'Semana 1'!$L84+0.014,IF(G84="AGENTE CIERRE",'Semana 1'!$L84+0.014," - ")))))</f>
        <v>0:20</v>
      </c>
      <c r="N84" s="51">
        <v>0.71875</v>
      </c>
      <c r="O84" s="51" t="str">
        <f>IF(G84="AGENTE",'Semana 1'!$N84+0.007,IF(G84="REDES",'Semana 1'!$N84+0.007,IF(G84="AGENTE RM",'Semana 1'!$N84+0.007,IF(G84="AGENTE APERTURA",'Semana 1'!$N84+0.007,IF(G84="AGENTE CIERRE",'Semana 1'!$N84+0.007," - ")))))</f>
        <v>0:10</v>
      </c>
      <c r="P84" s="52" t="str">
        <f t="shared" si="2"/>
        <v>9.0</v>
      </c>
      <c r="Q84" s="51"/>
      <c r="R84" s="51" t="str">
        <f t="shared" si="115"/>
        <v/>
      </c>
      <c r="S84" s="53"/>
      <c r="T84" s="53"/>
      <c r="U84" s="51"/>
      <c r="V84" s="51" t="str">
        <f t="shared" si="116"/>
        <v/>
      </c>
      <c r="W84" s="53"/>
      <c r="X84" s="53"/>
      <c r="Y84" s="52" t="str">
        <f t="shared" si="117"/>
        <v>0.0</v>
      </c>
      <c r="Z84" s="52" t="str">
        <f t="shared" ref="Z84:AC84" si="120">$P84</f>
        <v>9.0</v>
      </c>
      <c r="AA84" s="52" t="str">
        <f t="shared" si="120"/>
        <v>9.0</v>
      </c>
      <c r="AB84" s="52" t="str">
        <f t="shared" si="120"/>
        <v>9.0</v>
      </c>
      <c r="AC84" s="52" t="str">
        <f t="shared" si="120"/>
        <v>9.0</v>
      </c>
    </row>
    <row r="85" ht="15.75" customHeight="1">
      <c r="E85" s="19" t="str">
        <f>Personal!G62</f>
        <v>Marlyn Argentina Aguilar Lemus</v>
      </c>
      <c r="F85" s="19" t="s">
        <v>13</v>
      </c>
      <c r="G85" s="19" t="str">
        <f>Personal!H62</f>
        <v>AGENTE</v>
      </c>
      <c r="H85" s="54">
        <v>0.2708333333333333</v>
      </c>
      <c r="I85" s="54" t="str">
        <f t="shared" si="114"/>
        <v>16:30</v>
      </c>
      <c r="J85" s="54">
        <v>0.5</v>
      </c>
      <c r="K85" s="54" t="str">
        <f>IF(G85="AGENTE",'Semana 1'!$J85+0.042,IF(G85="REDES",'Semana 1'!$J85+0.042,IF(G85="AGENTE RM",'Semana 1'!$J85+0.042,IF(G85="AGENTE APERTURA",'Semana 1'!$J85+0.021,IF(G85="AGENTE CIERRE",'Semana 1'!$J85+0.021," - ")))))</f>
        <v>1:00</v>
      </c>
      <c r="L85" s="54">
        <v>0.3541666666666667</v>
      </c>
      <c r="M85" s="54" t="str">
        <f>IF(G85="AGENTE",'Semana 1'!$L85+0.014,IF(G85="REDES",'Semana 1'!$L85+0.014,IF(G85="AGENTE RM",'Semana 1'!$L85+0.014,IF(G85="AGENTE APERTURA",'Semana 1'!$L85+0.014,IF(G85="AGENTE CIERRE",'Semana 1'!$L85+0.014," - ")))))</f>
        <v>0:20</v>
      </c>
      <c r="N85" s="54">
        <v>0.65625</v>
      </c>
      <c r="O85" s="54" t="str">
        <f>IF(G85="AGENTE",'Semana 1'!$N85+0.007,IF(G85="REDES",'Semana 1'!$N85+0.007,IF(G85="AGENTE RM",'Semana 1'!$N85+0.007,IF(G85="AGENTE APERTURA",'Semana 1'!$N85+0.007,IF(G85="AGENTE CIERRE",'Semana 1'!$N85+0.007," - ")))))</f>
        <v>0:10</v>
      </c>
      <c r="P85" s="55" t="str">
        <f t="shared" si="2"/>
        <v>9.0</v>
      </c>
      <c r="Q85" s="54"/>
      <c r="R85" s="54" t="str">
        <f t="shared" si="115"/>
        <v/>
      </c>
      <c r="S85" s="56"/>
      <c r="T85" s="56"/>
      <c r="U85" s="54"/>
      <c r="V85" s="54" t="str">
        <f t="shared" si="116"/>
        <v/>
      </c>
      <c r="W85" s="56"/>
      <c r="X85" s="56"/>
      <c r="Y85" s="55" t="str">
        <f t="shared" si="117"/>
        <v>0.0</v>
      </c>
      <c r="Z85" s="55" t="str">
        <f t="shared" ref="Z85:AC85" si="121">$P85</f>
        <v>9.0</v>
      </c>
      <c r="AA85" s="55" t="str">
        <f t="shared" si="121"/>
        <v>9.0</v>
      </c>
      <c r="AB85" s="55" t="str">
        <f t="shared" si="121"/>
        <v>9.0</v>
      </c>
      <c r="AC85" s="55" t="str">
        <f t="shared" si="121"/>
        <v>9.0</v>
      </c>
    </row>
    <row r="86" ht="15.75" customHeight="1">
      <c r="E86" s="19" t="str">
        <f>Personal!G63</f>
        <v>Ilse Beatriz Perez Roque</v>
      </c>
      <c r="F86" s="19" t="s">
        <v>13</v>
      </c>
      <c r="G86" s="19" t="str">
        <f>Personal!H63</f>
        <v>AGENTE</v>
      </c>
      <c r="H86" s="51">
        <v>0.3333333333333333</v>
      </c>
      <c r="I86" s="51" t="str">
        <f t="shared" si="114"/>
        <v>18:00</v>
      </c>
      <c r="J86" s="51">
        <v>0.5833333333333334</v>
      </c>
      <c r="K86" s="51" t="str">
        <f>IF(G86="AGENTE",Tabla1[[#This Row],[1 Inicio Almuerzo Lunes]]+0.042,IF(G86="REDES",Tabla1[[#This Row],[1 Inicio Almuerzo Lunes]]+0.042,IF(G86="AGENTE RM",Tabla1[[#This Row],[1 Inicio Almuerzo Lunes]]+0.042,IF(G86="AGENTE APERTURA",Tabla1[[#This Row],[1 Inicio Almuerzo Lunes]]+0.021,IF(G86="AGENTE CIERRE",Tabla1[[#This Row],[1 Inicio Almuerzo Lunes]]+0.021," - ")))))</f>
        <v>#ERROR!</v>
      </c>
      <c r="L86" s="51">
        <v>0.4166666666666667</v>
      </c>
      <c r="M86" s="51" t="str">
        <f>IF(G86="AGENTE",Tabla1[[#This Row],[1 Incio Break 1 Lunes]]+0.014,IF(G86="REDES",Tabla1[[#This Row],[1 Incio Break 1 Lunes]]+0.014,IF(G86="AGENTE RM",Tabla1[[#This Row],[1 Incio Break 1 Lunes]]+0.014,IF(G86="AGENTE APERTURA",Tabla1[[#This Row],[1 Incio Break 1 Lunes]]+0.014,IF(G86="AGENTE CIERRE",Tabla1[[#This Row],[1 Incio Break 1 Lunes]]+0.014," - ")))))</f>
        <v>#ERROR!</v>
      </c>
      <c r="N86" s="51">
        <v>0.6875</v>
      </c>
      <c r="O86" s="51" t="str">
        <f>IF(G86="AGENTE",Tabla1[[#This Row],[1 Incio Break 2 Lunes]]+0.007,IF(G86="REDES",Tabla1[[#This Row],[1 Incio Break 2 Lunes]]+0.007,IF(G86="AGENTE RM",Tabla1[[#This Row],[1 Incio Break 2 Lunes]]+0.007,IF(G86="AGENTE APERTURA",Tabla1[[#This Row],[1 Incio Break 2 Lunes]]+0.007,IF(G86="AGENTE CIERRE",Tabla1[[#This Row],[1 Incio Break 2 Lunes]]+0.007," - ")))))</f>
        <v>#ERROR!</v>
      </c>
      <c r="P86" s="52" t="str">
        <f t="shared" si="2"/>
        <v>9.0</v>
      </c>
      <c r="Q86" s="51"/>
      <c r="R86" s="51"/>
      <c r="S86" s="53"/>
      <c r="T86" s="53"/>
      <c r="U86" s="51"/>
      <c r="V86" s="51" t="str">
        <f t="shared" si="116"/>
        <v/>
      </c>
      <c r="W86" s="53"/>
      <c r="X86" s="53"/>
      <c r="Y86" s="52" t="str">
        <f t="shared" si="117"/>
        <v>0.0</v>
      </c>
      <c r="Z86" s="52" t="str">
        <f t="shared" ref="Z86:AC86" si="122">$P86</f>
        <v>9.0</v>
      </c>
      <c r="AA86" s="52" t="str">
        <f t="shared" si="122"/>
        <v>9.0</v>
      </c>
      <c r="AB86" s="52" t="str">
        <f t="shared" si="122"/>
        <v>9.0</v>
      </c>
      <c r="AC86" s="52" t="str">
        <f t="shared" si="122"/>
        <v>9.0</v>
      </c>
    </row>
    <row r="87" ht="15.75" customHeight="1">
      <c r="E87" s="19" t="str">
        <f>Personal!G64</f>
        <v>-</v>
      </c>
      <c r="F87" s="19" t="s">
        <v>13</v>
      </c>
      <c r="G87" s="19" t="str">
        <f>Personal!H64</f>
        <v>-</v>
      </c>
      <c r="H87" s="54"/>
      <c r="I87" s="54" t="str">
        <f t="shared" si="114"/>
        <v> </v>
      </c>
      <c r="J87" s="54"/>
      <c r="K87" s="54" t="str">
        <f>IF(G87="AGENTE",Tabla1[[#This Row],[1 Inicio Almuerzo Lunes]]+0.042,IF(G87="REDES",Tabla1[[#This Row],[1 Inicio Almuerzo Lunes]]+0.042,IF(G87="AGENTE RM",Tabla1[[#This Row],[1 Inicio Almuerzo Lunes]]+0.042,IF(G87="AGENTE APERTURA",Tabla1[[#This Row],[1 Inicio Almuerzo Lunes]]+0.021,IF(G87="AGENTE CIERRE",Tabla1[[#This Row],[1 Inicio Almuerzo Lunes]]+0.021," - ")))))</f>
        <v>#ERROR!</v>
      </c>
      <c r="L87" s="54"/>
      <c r="M87" s="54" t="str">
        <f>IF(G87="AGENTE",Tabla1[[#This Row],[1 Incio Break 1 Lunes]]+0.014,IF(G87="REDES",Tabla1[[#This Row],[1 Incio Break 1 Lunes]]+0.014,IF(G87="AGENTE RM",Tabla1[[#This Row],[1 Incio Break 1 Lunes]]+0.014,IF(G87="AGENTE APERTURA",Tabla1[[#This Row],[1 Incio Break 1 Lunes]]+0.014,IF(G87="AGENTE CIERRE",Tabla1[[#This Row],[1 Incio Break 1 Lunes]]+0.014," - ")))))</f>
        <v>#ERROR!</v>
      </c>
      <c r="N87" s="54"/>
      <c r="O87" s="54" t="str">
        <f>IF(G87="AGENTE",Tabla1[[#This Row],[1 Incio Break 2 Lunes]]+0.007,IF(G87="REDES",Tabla1[[#This Row],[1 Incio Break 2 Lunes]]+0.007,IF(G87="AGENTE RM",Tabla1[[#This Row],[1 Incio Break 2 Lunes]]+0.007,IF(G87="AGENTE APERTURA",Tabla1[[#This Row],[1 Incio Break 2 Lunes]]+0.007,IF(G87="AGENTE CIERRE",Tabla1[[#This Row],[1 Incio Break 2 Lunes]]+0.007," - ")))))</f>
        <v>#ERROR!</v>
      </c>
      <c r="P87" s="55" t="str">
        <f t="shared" si="2"/>
        <v>-1.0</v>
      </c>
      <c r="Q87" s="54"/>
      <c r="R87" s="54"/>
      <c r="S87" s="54"/>
      <c r="T87" s="54" t="str">
        <f>IF(G87="AGENTE",Tabla1[[#This Row],[1 Inicio AlmuerzoSabado]]+0.042,IF(G87="REDES",Tabla1[[#This Row],[1 Inicio AlmuerzoSabado]]+0.042,IF(G87="AGENTE RM",Tabla1[[#This Row],[1 Inicio AlmuerzoSabado]]+0.042,IF(G87="AGENTE APERTURA",Tabla1[[#This Row],[1 Inicio AlmuerzoSabado]]+0.021,IF(G87="AGENTE CIERRE",Tabla1[[#This Row],[1 Inicio AlmuerzoSabado]]+0.021," - ")))))</f>
        <v>#ERROR!</v>
      </c>
      <c r="U87" s="54"/>
      <c r="V87" s="54" t="str">
        <f t="shared" si="116"/>
        <v/>
      </c>
      <c r="W87" s="54"/>
      <c r="X87" s="54"/>
      <c r="Y87" s="55" t="str">
        <f t="shared" si="117"/>
        <v>0.0</v>
      </c>
      <c r="Z87" s="55" t="str">
        <f t="shared" ref="Z87:AC87" si="123">$P87</f>
        <v>-1.0</v>
      </c>
      <c r="AA87" s="55" t="str">
        <f t="shared" si="123"/>
        <v>-1.0</v>
      </c>
      <c r="AB87" s="55" t="str">
        <f t="shared" si="123"/>
        <v>-1.0</v>
      </c>
      <c r="AC87" s="55" t="str">
        <f t="shared" si="123"/>
        <v>-1.0</v>
      </c>
    </row>
    <row r="88" ht="15.75" customHeight="1">
      <c r="E88" s="19" t="str">
        <f>Personal!G65</f>
        <v>-</v>
      </c>
      <c r="F88" s="19" t="s">
        <v>13</v>
      </c>
      <c r="G88" s="19" t="str">
        <f>Personal!H65</f>
        <v>-</v>
      </c>
      <c r="H88" s="51"/>
      <c r="I88" s="51"/>
      <c r="J88" s="51"/>
      <c r="K88" s="51" t="str">
        <f>IF(G88="AGENTE",Tabla1[[#This Row],[1 Inicio Almuerzo Lunes]]+0.042,IF(G88="REDES",Tabla1[[#This Row],[1 Inicio Almuerzo Lunes]]+0.042,IF(G88="AGENTE RM",Tabla1[[#This Row],[1 Inicio Almuerzo Lunes]]+0.042,IF(G88="AGENTE APERTURA",Tabla1[[#This Row],[1 Inicio Almuerzo Lunes]]+0.021,IF(G88="AGENTE CIERRE",Tabla1[[#This Row],[1 Inicio Almuerzo Lunes]]+0.021," - ")))))</f>
        <v>#ERROR!</v>
      </c>
      <c r="L88" s="51"/>
      <c r="M88" s="51" t="str">
        <f>IF(G88="AGENTE",Tabla1[[#This Row],[1 Incio Break 1 Lunes]]+0.014,IF(G88="REDES",Tabla1[[#This Row],[1 Incio Break 1 Lunes]]+0.014,IF(G88="AGENTE RM",Tabla1[[#This Row],[1 Incio Break 1 Lunes]]+0.014,IF(G88="AGENTE APERTURA",Tabla1[[#This Row],[1 Incio Break 1 Lunes]]+0.014,IF(G88="AGENTE CIERRE",Tabla1[[#This Row],[1 Incio Break 1 Lunes]]+0.014," - ")))))</f>
        <v>#ERROR!</v>
      </c>
      <c r="N88" s="51"/>
      <c r="O88" s="51" t="str">
        <f>IF(G88="AGENTE",Tabla1[[#This Row],[1 Incio Break 2 Lunes]]+0.007,IF(G88="REDES",Tabla1[[#This Row],[1 Incio Break 2 Lunes]]+0.007,IF(G88="AGENTE RM",Tabla1[[#This Row],[1 Incio Break 2 Lunes]]+0.007,IF(G88="AGENTE APERTURA",Tabla1[[#This Row],[1 Incio Break 2 Lunes]]+0.007,IF(G88="AGENTE CIERRE",Tabla1[[#This Row],[1 Incio Break 2 Lunes]]+0.007," - ")))))</f>
        <v>#ERROR!</v>
      </c>
      <c r="P88" s="52"/>
      <c r="Q88" s="51"/>
      <c r="R88" s="51"/>
      <c r="S88" s="53"/>
      <c r="T88" s="53" t="str">
        <f>IF(G88="AGENTE",Tabla1[[#This Row],[1 Inicio AlmuerzoSabado]]+0.042,IF(G88="REDES",Tabla1[[#This Row],[1 Inicio AlmuerzoSabado]]+0.042,IF(G88="AGENTE RM",Tabla1[[#This Row],[1 Inicio AlmuerzoSabado]]+0.042,IF(G88="AGENTE APERTURA",Tabla1[[#This Row],[1 Inicio AlmuerzoSabado]]+0.021,IF(G88="AGENTE CIERRE",Tabla1[[#This Row],[1 Inicio AlmuerzoSabado]]+0.021," - ")))))</f>
        <v>#ERROR!</v>
      </c>
      <c r="U88" s="51"/>
      <c r="V88" s="51"/>
      <c r="W88" s="53"/>
      <c r="X88" s="53"/>
      <c r="Y88" s="52"/>
      <c r="Z88" s="52"/>
      <c r="AA88" s="52"/>
      <c r="AB88" s="52"/>
      <c r="AC88" s="52"/>
    </row>
    <row r="89" ht="15.75" customHeight="1">
      <c r="E89" s="19" t="str">
        <f>Personal!G66</f>
        <v>-</v>
      </c>
      <c r="F89" s="19" t="s">
        <v>13</v>
      </c>
      <c r="G89" s="19" t="str">
        <f>Personal!H66</f>
        <v>-</v>
      </c>
      <c r="H89" s="54"/>
      <c r="I89" s="54"/>
      <c r="J89" s="54"/>
      <c r="K89" s="54" t="str">
        <f>IF(G89="AGENTE",Tabla1[[#This Row],[1 Inicio Almuerzo Lunes]]+0.042,IF(G89="REDES",Tabla1[[#This Row],[1 Inicio Almuerzo Lunes]]+0.042,IF(G89="AGENTE RM",Tabla1[[#This Row],[1 Inicio Almuerzo Lunes]]+0.042,IF(G89="AGENTE APERTURA",Tabla1[[#This Row],[1 Inicio Almuerzo Lunes]]+0.021,IF(G89="AGENTE CIERRE",Tabla1[[#This Row],[1 Inicio Almuerzo Lunes]]+0.021," - ")))))</f>
        <v>#ERROR!</v>
      </c>
      <c r="L89" s="54"/>
      <c r="M89" s="54" t="str">
        <f>IF(G89="AGENTE",Tabla1[[#This Row],[1 Incio Break 1 Lunes]]+0.014,IF(G89="REDES",Tabla1[[#This Row],[1 Incio Break 1 Lunes]]+0.014,IF(G89="AGENTE RM",Tabla1[[#This Row],[1 Incio Break 1 Lunes]]+0.014,IF(G89="AGENTE APERTURA",Tabla1[[#This Row],[1 Incio Break 1 Lunes]]+0.014,IF(G89="AGENTE CIERRE",Tabla1[[#This Row],[1 Incio Break 1 Lunes]]+0.014," - ")))))</f>
        <v>#ERROR!</v>
      </c>
      <c r="N89" s="54"/>
      <c r="O89" s="54" t="str">
        <f>IF(G89="AGENTE",Tabla1[[#This Row],[1 Incio Break 2 Lunes]]+0.007,IF(G89="REDES",Tabla1[[#This Row],[1 Incio Break 2 Lunes]]+0.007,IF(G89="AGENTE RM",Tabla1[[#This Row],[1 Incio Break 2 Lunes]]+0.007,IF(G89="AGENTE APERTURA",Tabla1[[#This Row],[1 Incio Break 2 Lunes]]+0.007,IF(G89="AGENTE CIERRE",Tabla1[[#This Row],[1 Incio Break 2 Lunes]]+0.007," - ")))))</f>
        <v>#ERROR!</v>
      </c>
      <c r="P89" s="55"/>
      <c r="Q89" s="54"/>
      <c r="R89" s="54"/>
      <c r="S89" s="56"/>
      <c r="T89" s="56" t="str">
        <f>IF(G89="AGENTE",Tabla1[[#This Row],[1 Inicio AlmuerzoSabado]]+0.042,IF(G89="REDES",Tabla1[[#This Row],[1 Inicio AlmuerzoSabado]]+0.042,IF(G89="AGENTE RM",Tabla1[[#This Row],[1 Inicio AlmuerzoSabado]]+0.042,IF(G89="AGENTE APERTURA",Tabla1[[#This Row],[1 Inicio AlmuerzoSabado]]+0.021,IF(G89="AGENTE CIERRE",Tabla1[[#This Row],[1 Inicio AlmuerzoSabado]]+0.021," - ")))))</f>
        <v>#ERROR!</v>
      </c>
      <c r="U89" s="54"/>
      <c r="V89" s="54"/>
      <c r="W89" s="56"/>
      <c r="X89" s="56"/>
      <c r="Y89" s="55"/>
      <c r="Z89" s="55"/>
      <c r="AA89" s="55"/>
      <c r="AB89" s="55"/>
      <c r="AC89" s="55"/>
    </row>
    <row r="90" ht="15.75" customHeight="1">
      <c r="E90" s="19" t="str">
        <f>Personal!G67</f>
        <v>Selvin Manolo Rajpop Ajuchan</v>
      </c>
      <c r="F90" s="19" t="s">
        <v>13</v>
      </c>
      <c r="G90" s="19" t="str">
        <f>Personal!H67</f>
        <v>AGENTE</v>
      </c>
      <c r="H90" s="51">
        <v>0.3333333333333333</v>
      </c>
      <c r="I90" s="51" t="str">
        <f t="shared" ref="I90:I97" si="125">IF(H90=0," ",IF(Q90=0,(H90+0.417),(H90+0.3756)))</f>
        <v>17:00</v>
      </c>
      <c r="J90" s="51">
        <v>0.5416666666666666</v>
      </c>
      <c r="K90" s="51" t="str">
        <f>IF(G90="AGENTE",Tabla1[[#This Row],[1 Inicio Almuerzo Lunes]]+0.042,IF(G90="REDES",Tabla1[[#This Row],[1 Inicio Almuerzo Lunes]]+0.042,IF(G90="AGENTE RM",Tabla1[[#This Row],[1 Inicio Almuerzo Lunes]]+0.042,IF(G90="AGENTE APERTURA",Tabla1[[#This Row],[1 Inicio Almuerzo Lunes]]+0.021,IF(G90="AGENTE CIERRE",Tabla1[[#This Row],[1 Inicio Almuerzo Lunes]]+0.021," - ")))))</f>
        <v>#ERROR!</v>
      </c>
      <c r="L90" s="51">
        <v>0.3854166666666667</v>
      </c>
      <c r="M90" s="51" t="str">
        <f>IF(G90="AGENTE",Tabla1[[#This Row],[1 Incio Break 1 Lunes]]+0.014,IF(G90="REDES",Tabla1[[#This Row],[1 Incio Break 1 Lunes]]+0.014,IF(G90="AGENTE RM",Tabla1[[#This Row],[1 Incio Break 1 Lunes]]+0.014,IF(G90="AGENTE APERTURA",Tabla1[[#This Row],[1 Incio Break 1 Lunes]]+0.014,IF(G90="AGENTE CIERRE",Tabla1[[#This Row],[1 Incio Break 1 Lunes]]+0.014," - ")))))</f>
        <v>#ERROR!</v>
      </c>
      <c r="N90" s="51">
        <v>0.6979166666666666</v>
      </c>
      <c r="O90" s="51" t="str">
        <f>IF(G90="AGENTE",Tabla1[[#This Row],[1 Incio Break 2 Lunes]]+0.007,IF(G90="REDES",Tabla1[[#This Row],[1 Incio Break 2 Lunes]]+0.007,IF(G90="AGENTE RM",Tabla1[[#This Row],[1 Incio Break 2 Lunes]]+0.007,IF(G90="AGENTE APERTURA",Tabla1[[#This Row],[1 Incio Break 2 Lunes]]+0.007,IF(G90="AGENTE CIERRE",Tabla1[[#This Row],[1 Incio Break 2 Lunes]]+0.007," - ")))))</f>
        <v>#ERROR!</v>
      </c>
      <c r="P90" s="52" t="str">
        <f t="shared" ref="P90:P104" si="126">(IFERROR(I90-H90,0)*24)-1</f>
        <v>8.0</v>
      </c>
      <c r="Q90" s="51">
        <v>0.3541666666666667</v>
      </c>
      <c r="R90" s="51" t="str">
        <f t="shared" ref="R90:R97" si="127">IF(Q90=0,"",Q90+0.209)</f>
        <v>13:30</v>
      </c>
      <c r="S90" s="53"/>
      <c r="T90" s="53"/>
      <c r="U90" s="51">
        <v>0.3541666666666667</v>
      </c>
      <c r="V90" s="51" t="str">
        <f t="shared" ref="V90:V97" si="128">IF(U90=0,"",U90+0.021)</f>
        <v>9:00</v>
      </c>
      <c r="W90" s="53"/>
      <c r="X90" s="53"/>
      <c r="Y90" s="52" t="str">
        <f t="shared" ref="Y90:Y104" si="129">(IFERROR(R90-Q90,0)*24)</f>
        <v>5.0</v>
      </c>
      <c r="Z90" s="52" t="str">
        <f t="shared" ref="Z90:AC90" si="124">$P90</f>
        <v>8.0</v>
      </c>
      <c r="AA90" s="52" t="str">
        <f t="shared" si="124"/>
        <v>8.0</v>
      </c>
      <c r="AB90" s="52" t="str">
        <f t="shared" si="124"/>
        <v>8.0</v>
      </c>
      <c r="AC90" s="52" t="str">
        <f t="shared" si="124"/>
        <v>8.0</v>
      </c>
    </row>
    <row r="91" ht="15.75" customHeight="1">
      <c r="E91" s="19" t="str">
        <f>Personal!G68</f>
        <v>Abner Alexander Curruchich Diaz</v>
      </c>
      <c r="F91" s="19" t="s">
        <v>13</v>
      </c>
      <c r="G91" s="19" t="str">
        <f>Personal!H68</f>
        <v>AGENTE</v>
      </c>
      <c r="H91" s="54">
        <v>0.3333333333333333</v>
      </c>
      <c r="I91" s="54" t="str">
        <f t="shared" si="125"/>
        <v>17:00</v>
      </c>
      <c r="J91" s="54">
        <v>0.5</v>
      </c>
      <c r="K91" s="54" t="str">
        <f>IF(G91="AGENTE",Tabla1[[#This Row],[1 Inicio Almuerzo Lunes]]+0.042,IF(G91="REDES",Tabla1[[#This Row],[1 Inicio Almuerzo Lunes]]+0.042,IF(G91="AGENTE RM",Tabla1[[#This Row],[1 Inicio Almuerzo Lunes]]+0.042,IF(G91="AGENTE APERTURA",Tabla1[[#This Row],[1 Inicio Almuerzo Lunes]]+0.021,IF(G91="AGENTE CIERRE",Tabla1[[#This Row],[1 Inicio Almuerzo Lunes]]+0.021," - ")))))</f>
        <v>#ERROR!</v>
      </c>
      <c r="L91" s="54">
        <v>0.3854166666666667</v>
      </c>
      <c r="M91" s="54" t="str">
        <f>IF(G91="AGENTE",Tabla1[[#This Row],[1 Incio Break 1 Lunes]]+0.014,IF(G91="REDES",Tabla1[[#This Row],[1 Incio Break 1 Lunes]]+0.014,IF(G91="AGENTE RM",Tabla1[[#This Row],[1 Incio Break 1 Lunes]]+0.014,IF(G91="AGENTE APERTURA",Tabla1[[#This Row],[1 Incio Break 1 Lunes]]+0.014,IF(G91="AGENTE CIERRE",Tabla1[[#This Row],[1 Incio Break 1 Lunes]]+0.014," - ")))))</f>
        <v>#ERROR!</v>
      </c>
      <c r="N91" s="54">
        <v>0.6666666666666666</v>
      </c>
      <c r="O91" s="54" t="str">
        <f>IF(G91="AGENTE",Tabla1[[#This Row],[1 Incio Break 2 Lunes]]+0.007,IF(G91="REDES",Tabla1[[#This Row],[1 Incio Break 2 Lunes]]+0.007,IF(G91="AGENTE RM",Tabla1[[#This Row],[1 Incio Break 2 Lunes]]+0.007,IF(G91="AGENTE APERTURA",Tabla1[[#This Row],[1 Incio Break 2 Lunes]]+0.007,IF(G91="AGENTE CIERRE",Tabla1[[#This Row],[1 Incio Break 2 Lunes]]+0.007," - ")))))</f>
        <v>#ERROR!</v>
      </c>
      <c r="P91" s="55" t="str">
        <f t="shared" si="126"/>
        <v>8.0</v>
      </c>
      <c r="Q91" s="54">
        <v>0.5416666666666666</v>
      </c>
      <c r="R91" s="54" t="str">
        <f t="shared" si="127"/>
        <v>18:00</v>
      </c>
      <c r="S91" s="54"/>
      <c r="T91" s="54"/>
      <c r="U91" s="54">
        <v>0.5833333333333334</v>
      </c>
      <c r="V91" s="54" t="str">
        <f t="shared" si="128"/>
        <v>14:30</v>
      </c>
      <c r="W91" s="54"/>
      <c r="X91" s="54"/>
      <c r="Y91" s="55" t="str">
        <f t="shared" si="129"/>
        <v>5.0</v>
      </c>
      <c r="Z91" s="55" t="str">
        <f t="shared" ref="Z91:AC91" si="130">$P91</f>
        <v>8.0</v>
      </c>
      <c r="AA91" s="55" t="str">
        <f t="shared" si="130"/>
        <v>8.0</v>
      </c>
      <c r="AB91" s="55" t="str">
        <f t="shared" si="130"/>
        <v>8.0</v>
      </c>
      <c r="AC91" s="55" t="str">
        <f t="shared" si="130"/>
        <v>8.0</v>
      </c>
    </row>
    <row r="92" ht="15.75" customHeight="1">
      <c r="E92" s="19" t="str">
        <f>Personal!G69</f>
        <v>Cindi Yorleni Godinez Siles de Eguizabal</v>
      </c>
      <c r="F92" s="19" t="s">
        <v>13</v>
      </c>
      <c r="G92" s="19" t="str">
        <f>Personal!H69</f>
        <v>AGENTE</v>
      </c>
      <c r="H92" s="51">
        <v>0.4166666666666667</v>
      </c>
      <c r="I92" s="51" t="str">
        <f t="shared" si="125"/>
        <v>19:00</v>
      </c>
      <c r="J92" s="51">
        <v>0.5833333333333334</v>
      </c>
      <c r="K92" s="51" t="str">
        <f>IF(G92="AGENTE",Tabla1[[#This Row],[1 Inicio Almuerzo Lunes]]+0.042,IF(G92="REDES",Tabla1[[#This Row],[1 Inicio Almuerzo Lunes]]+0.042,IF(G92="AGENTE RM",Tabla1[[#This Row],[1 Inicio Almuerzo Lunes]]+0.042,IF(G92="AGENTE APERTURA",Tabla1[[#This Row],[1 Inicio Almuerzo Lunes]]+0.021,IF(G92="AGENTE CIERRE",Tabla1[[#This Row],[1 Inicio Almuerzo Lunes]]+0.021," - ")))))</f>
        <v>#ERROR!</v>
      </c>
      <c r="L92" s="51">
        <v>0.46875</v>
      </c>
      <c r="M92" s="51" t="str">
        <f>IF(G92="AGENTE",Tabla1[[#This Row],[1 Incio Break 1 Lunes]]+0.014,IF(G92="REDES",Tabla1[[#This Row],[1 Incio Break 1 Lunes]]+0.014,IF(G92="AGENTE RM",Tabla1[[#This Row],[1 Incio Break 1 Lunes]]+0.014,IF(G92="AGENTE APERTURA",Tabla1[[#This Row],[1 Incio Break 1 Lunes]]+0.014,IF(G92="AGENTE CIERRE",Tabla1[[#This Row],[1 Incio Break 1 Lunes]]+0.014," - ")))))</f>
        <v>#ERROR!</v>
      </c>
      <c r="N92" s="51">
        <v>0.6875</v>
      </c>
      <c r="O92" s="51" t="str">
        <f>IF(G92="AGENTE",Tabla1[[#This Row],[1 Incio Break 2 Lunes]]+0.007,IF(G92="REDES",Tabla1[[#This Row],[1 Incio Break 2 Lunes]]+0.007,IF(G92="AGENTE RM",Tabla1[[#This Row],[1 Incio Break 2 Lunes]]+0.007,IF(G92="AGENTE APERTURA",Tabla1[[#This Row],[1 Incio Break 2 Lunes]]+0.007,IF(G92="AGENTE CIERRE",Tabla1[[#This Row],[1 Incio Break 2 Lunes]]+0.007," - ")))))</f>
        <v>#ERROR!</v>
      </c>
      <c r="P92" s="52" t="str">
        <f t="shared" si="126"/>
        <v>8.0</v>
      </c>
      <c r="Q92" s="51">
        <v>0.4583333333333333</v>
      </c>
      <c r="R92" s="51" t="str">
        <f t="shared" si="127"/>
        <v>16:00</v>
      </c>
      <c r="S92" s="53"/>
      <c r="T92" s="53"/>
      <c r="U92" s="51">
        <v>0.5416666666666666</v>
      </c>
      <c r="V92" s="51" t="str">
        <f t="shared" si="128"/>
        <v>13:30</v>
      </c>
      <c r="W92" s="53"/>
      <c r="X92" s="53"/>
      <c r="Y92" s="52" t="str">
        <f t="shared" si="129"/>
        <v>5.0</v>
      </c>
      <c r="Z92" s="52" t="str">
        <f t="shared" ref="Z92:AC92" si="131">$P92</f>
        <v>8.0</v>
      </c>
      <c r="AA92" s="52" t="str">
        <f t="shared" si="131"/>
        <v>8.0</v>
      </c>
      <c r="AB92" s="52" t="str">
        <f t="shared" si="131"/>
        <v>8.0</v>
      </c>
      <c r="AC92" s="52" t="str">
        <f t="shared" si="131"/>
        <v>8.0</v>
      </c>
    </row>
    <row r="93" ht="15.75" customHeight="1">
      <c r="E93" s="19" t="str">
        <f>Personal!G70</f>
        <v>Lleny Yolanda Asetun Jeronimo de Mateo</v>
      </c>
      <c r="F93" s="19" t="s">
        <v>13</v>
      </c>
      <c r="G93" s="19" t="str">
        <f>Personal!H70</f>
        <v>AGENTE</v>
      </c>
      <c r="H93" s="54">
        <v>0.3333333333333333</v>
      </c>
      <c r="I93" s="54" t="str">
        <f t="shared" si="125"/>
        <v>17:00</v>
      </c>
      <c r="J93" s="54">
        <v>0.5416666666666666</v>
      </c>
      <c r="K93" s="54" t="str">
        <f>IF(G93="AGENTE",Tabla1[[#This Row],[1 Inicio Almuerzo Lunes]]+0.042,IF(G93="REDES",Tabla1[[#This Row],[1 Inicio Almuerzo Lunes]]+0.042,IF(G93="AGENTE RM",Tabla1[[#This Row],[1 Inicio Almuerzo Lunes]]+0.042,IF(G93="AGENTE APERTURA",Tabla1[[#This Row],[1 Inicio Almuerzo Lunes]]+0.021,IF(G93="AGENTE CIERRE",Tabla1[[#This Row],[1 Inicio Almuerzo Lunes]]+0.021," - ")))))</f>
        <v>#ERROR!</v>
      </c>
      <c r="L93" s="54">
        <v>0.3958333333333333</v>
      </c>
      <c r="M93" s="54" t="str">
        <f>IF(G93="AGENTE",Tabla1[[#This Row],[1 Incio Break 1 Lunes]]+0.014,IF(G93="REDES",Tabla1[[#This Row],[1 Incio Break 1 Lunes]]+0.014,IF(G93="AGENTE RM",Tabla1[[#This Row],[1 Incio Break 1 Lunes]]+0.014,IF(G93="AGENTE APERTURA",Tabla1[[#This Row],[1 Incio Break 1 Lunes]]+0.014,IF(G93="AGENTE CIERRE",Tabla1[[#This Row],[1 Incio Break 1 Lunes]]+0.014," - ")))))</f>
        <v>#ERROR!</v>
      </c>
      <c r="N93" s="54">
        <v>0.6770833333333334</v>
      </c>
      <c r="O93" s="54" t="str">
        <f>IF(G93="AGENTE",Tabla1[[#This Row],[1 Incio Break 2 Lunes]]+0.007,IF(G93="REDES",Tabla1[[#This Row],[1 Incio Break 2 Lunes]]+0.007,IF(G93="AGENTE RM",Tabla1[[#This Row],[1 Incio Break 2 Lunes]]+0.007,IF(G93="AGENTE APERTURA",Tabla1[[#This Row],[1 Incio Break 2 Lunes]]+0.007,IF(G93="AGENTE CIERRE",Tabla1[[#This Row],[1 Incio Break 2 Lunes]]+0.007," - ")))))</f>
        <v>#ERROR!</v>
      </c>
      <c r="P93" s="55" t="str">
        <f t="shared" si="126"/>
        <v>8.0</v>
      </c>
      <c r="Q93" s="54">
        <v>0.5416666666666666</v>
      </c>
      <c r="R93" s="54" t="str">
        <f t="shared" si="127"/>
        <v>18:00</v>
      </c>
      <c r="S93" s="56"/>
      <c r="T93" s="56"/>
      <c r="U93" s="54">
        <v>0.6458333333333334</v>
      </c>
      <c r="V93" s="54" t="str">
        <f t="shared" si="128"/>
        <v>16:00</v>
      </c>
      <c r="W93" s="56"/>
      <c r="X93" s="56"/>
      <c r="Y93" s="55" t="str">
        <f t="shared" si="129"/>
        <v>5.0</v>
      </c>
      <c r="Z93" s="55" t="str">
        <f t="shared" ref="Z93:AC93" si="132">$P93</f>
        <v>8.0</v>
      </c>
      <c r="AA93" s="55" t="str">
        <f t="shared" si="132"/>
        <v>8.0</v>
      </c>
      <c r="AB93" s="55" t="str">
        <f t="shared" si="132"/>
        <v>8.0</v>
      </c>
      <c r="AC93" s="55" t="str">
        <f t="shared" si="132"/>
        <v>8.0</v>
      </c>
    </row>
    <row r="94" ht="15.75" customHeight="1">
      <c r="E94" s="19" t="str">
        <f>Personal!G71</f>
        <v>Ruth Nohemi Rosales Perez</v>
      </c>
      <c r="F94" s="19" t="s">
        <v>13</v>
      </c>
      <c r="G94" s="19" t="str">
        <f>Personal!H71</f>
        <v>AGENTE</v>
      </c>
      <c r="H94" s="51">
        <v>0.2916666666666667</v>
      </c>
      <c r="I94" s="51" t="str">
        <f t="shared" si="125"/>
        <v>16:00</v>
      </c>
      <c r="J94" s="51">
        <v>0.5</v>
      </c>
      <c r="K94" s="51" t="str">
        <f>IF(G94="AGENTE",Tabla1[[#This Row],[1 Inicio Almuerzo Lunes]]+0.042,IF(G94="REDES",Tabla1[[#This Row],[1 Inicio Almuerzo Lunes]]+0.042,IF(G94="AGENTE RM",Tabla1[[#This Row],[1 Inicio Almuerzo Lunes]]+0.042,IF(G94="AGENTE APERTURA",Tabla1[[#This Row],[1 Inicio Almuerzo Lunes]]+0.021,IF(G94="AGENTE CIERRE",Tabla1[[#This Row],[1 Inicio Almuerzo Lunes]]+0.021," - ")))))</f>
        <v>#ERROR!</v>
      </c>
      <c r="L94" s="51">
        <v>0.3645833333333333</v>
      </c>
      <c r="M94" s="51" t="str">
        <f>IF(G94="AGENTE",Tabla1[[#This Row],[1 Incio Break 1 Lunes]]+0.014,IF(G94="REDES",Tabla1[[#This Row],[1 Incio Break 1 Lunes]]+0.014,IF(G94="AGENTE RM",Tabla1[[#This Row],[1 Incio Break 1 Lunes]]+0.014,IF(G94="AGENTE APERTURA",Tabla1[[#This Row],[1 Incio Break 1 Lunes]]+0.014,IF(G94="AGENTE CIERRE",Tabla1[[#This Row],[1 Incio Break 1 Lunes]]+0.014," - ")))))</f>
        <v>#ERROR!</v>
      </c>
      <c r="N94" s="51">
        <v>0.6458333333333334</v>
      </c>
      <c r="O94" s="51" t="str">
        <f>IF(G94="AGENTE",Tabla1[[#This Row],[1 Incio Break 2 Lunes]]+0.007,IF(G94="REDES",Tabla1[[#This Row],[1 Incio Break 2 Lunes]]+0.007,IF(G94="AGENTE RM",Tabla1[[#This Row],[1 Incio Break 2 Lunes]]+0.007,IF(G94="AGENTE APERTURA",Tabla1[[#This Row],[1 Incio Break 2 Lunes]]+0.007,IF(G94="AGENTE CIERRE",Tabla1[[#This Row],[1 Incio Break 2 Lunes]]+0.007," - ")))))</f>
        <v>#ERROR!</v>
      </c>
      <c r="P94" s="52" t="str">
        <f t="shared" si="126"/>
        <v>8.0</v>
      </c>
      <c r="Q94" s="51">
        <v>0.4583333333333333</v>
      </c>
      <c r="R94" s="51" t="str">
        <f t="shared" si="127"/>
        <v>16:00</v>
      </c>
      <c r="S94" s="53"/>
      <c r="T94" s="53"/>
      <c r="U94" s="51">
        <v>0.5</v>
      </c>
      <c r="V94" s="51" t="str">
        <f t="shared" si="128"/>
        <v>12:30</v>
      </c>
      <c r="W94" s="53"/>
      <c r="X94" s="53"/>
      <c r="Y94" s="52" t="str">
        <f t="shared" si="129"/>
        <v>5.0</v>
      </c>
      <c r="Z94" s="52" t="str">
        <f t="shared" ref="Z94:AC94" si="133">$P94</f>
        <v>8.0</v>
      </c>
      <c r="AA94" s="52" t="str">
        <f t="shared" si="133"/>
        <v>8.0</v>
      </c>
      <c r="AB94" s="52" t="str">
        <f t="shared" si="133"/>
        <v>8.0</v>
      </c>
      <c r="AC94" s="52" t="str">
        <f t="shared" si="133"/>
        <v>8.0</v>
      </c>
    </row>
    <row r="95" ht="15.75" customHeight="1">
      <c r="E95" s="19" t="str">
        <f>Personal!G72</f>
        <v>Erick Alejandro Avea Rivera</v>
      </c>
      <c r="F95" s="19" t="s">
        <v>13</v>
      </c>
      <c r="G95" s="19" t="str">
        <f>Personal!H72</f>
        <v>AGENTE</v>
      </c>
      <c r="H95" s="54">
        <v>0.4166666666666667</v>
      </c>
      <c r="I95" s="54" t="str">
        <f t="shared" si="125"/>
        <v>19:00</v>
      </c>
      <c r="J95" s="54">
        <v>0.5833333333333334</v>
      </c>
      <c r="K95" s="54" t="str">
        <f>IF(G95="AGENTE",Tabla1[[#This Row],[1 Inicio Almuerzo Lunes]]+0.042,IF(G95="REDES",Tabla1[[#This Row],[1 Inicio Almuerzo Lunes]]+0.042,IF(G95="AGENTE RM",Tabla1[[#This Row],[1 Inicio Almuerzo Lunes]]+0.042,IF(G95="AGENTE APERTURA",Tabla1[[#This Row],[1 Inicio Almuerzo Lunes]]+0.021,IF(G95="AGENTE CIERRE",Tabla1[[#This Row],[1 Inicio Almuerzo Lunes]]+0.021," - ")))))</f>
        <v>#ERROR!</v>
      </c>
      <c r="L95" s="54">
        <v>0.4791666666666667</v>
      </c>
      <c r="M95" s="54" t="str">
        <f>IF(G95="AGENTE",Tabla1[[#This Row],[1 Incio Break 1 Lunes]]+0.014,IF(G95="REDES",Tabla1[[#This Row],[1 Incio Break 1 Lunes]]+0.014,IF(G95="AGENTE RM",Tabla1[[#This Row],[1 Incio Break 1 Lunes]]+0.014,IF(G95="AGENTE APERTURA",Tabla1[[#This Row],[1 Incio Break 1 Lunes]]+0.014,IF(G95="AGENTE CIERRE",Tabla1[[#This Row],[1 Incio Break 1 Lunes]]+0.014," - ")))))</f>
        <v>#ERROR!</v>
      </c>
      <c r="N95" s="54">
        <v>0.6979166666666666</v>
      </c>
      <c r="O95" s="54" t="str">
        <f>IF(G95="AGENTE",Tabla1[[#This Row],[1 Incio Break 2 Lunes]]+0.007,IF(G95="REDES",Tabla1[[#This Row],[1 Incio Break 2 Lunes]]+0.007,IF(G95="AGENTE RM",Tabla1[[#This Row],[1 Incio Break 2 Lunes]]+0.007,IF(G95="AGENTE APERTURA",Tabla1[[#This Row],[1 Incio Break 2 Lunes]]+0.007,IF(G95="AGENTE CIERRE",Tabla1[[#This Row],[1 Incio Break 2 Lunes]]+0.007," - ")))))</f>
        <v>#ERROR!</v>
      </c>
      <c r="P95" s="55" t="str">
        <f t="shared" si="126"/>
        <v>8.0</v>
      </c>
      <c r="Q95" s="54">
        <v>0.5</v>
      </c>
      <c r="R95" s="54" t="str">
        <f t="shared" si="127"/>
        <v>17:00</v>
      </c>
      <c r="S95" s="56"/>
      <c r="T95" s="56"/>
      <c r="U95" s="54">
        <v>0.5833333333333334</v>
      </c>
      <c r="V95" s="54" t="str">
        <f t="shared" si="128"/>
        <v>14:30</v>
      </c>
      <c r="W95" s="56"/>
      <c r="X95" s="56"/>
      <c r="Y95" s="55" t="str">
        <f t="shared" si="129"/>
        <v>5.0</v>
      </c>
      <c r="Z95" s="55" t="str">
        <f t="shared" ref="Z95:AC95" si="134">$P95</f>
        <v>8.0</v>
      </c>
      <c r="AA95" s="55" t="str">
        <f t="shared" si="134"/>
        <v>8.0</v>
      </c>
      <c r="AB95" s="55" t="str">
        <f t="shared" si="134"/>
        <v>8.0</v>
      </c>
      <c r="AC95" s="55" t="str">
        <f t="shared" si="134"/>
        <v>8.0</v>
      </c>
    </row>
    <row r="96" ht="15.75" customHeight="1">
      <c r="E96" s="19" t="str">
        <f>Personal!G73</f>
        <v>Johanna Elizabeth Rodriguez Bustamante</v>
      </c>
      <c r="F96" s="19" t="s">
        <v>13</v>
      </c>
      <c r="G96" s="19" t="str">
        <f>Personal!H73</f>
        <v>AGENTE</v>
      </c>
      <c r="H96" s="51">
        <v>0.3333333333333333</v>
      </c>
      <c r="I96" s="51" t="str">
        <f t="shared" si="125"/>
        <v>17:00</v>
      </c>
      <c r="J96" s="51">
        <v>0.5416666666666666</v>
      </c>
      <c r="K96" s="51" t="str">
        <f>IF(G96="AGENTE",Tabla1[[#This Row],[1 Inicio Almuerzo Lunes]]+0.042,IF(G96="REDES",Tabla1[[#This Row],[1 Inicio Almuerzo Lunes]]+0.042,IF(G96="AGENTE RM",Tabla1[[#This Row],[1 Inicio Almuerzo Lunes]]+0.042,IF(G96="AGENTE APERTURA",Tabla1[[#This Row],[1 Inicio Almuerzo Lunes]]+0.021,IF(G96="AGENTE CIERRE",Tabla1[[#This Row],[1 Inicio Almuerzo Lunes]]+0.021," - ")))))</f>
        <v>#ERROR!</v>
      </c>
      <c r="L96" s="51">
        <v>0.40625</v>
      </c>
      <c r="M96" s="51" t="str">
        <f>IF(G96="AGENTE",Tabla1[[#This Row],[1 Incio Break 1 Lunes]]+0.014,IF(G96="REDES",Tabla1[[#This Row],[1 Incio Break 1 Lunes]]+0.014,IF(G96="AGENTE RM",Tabla1[[#This Row],[1 Incio Break 1 Lunes]]+0.014,IF(G96="AGENTE APERTURA",Tabla1[[#This Row],[1 Incio Break 1 Lunes]]+0.014,IF(G96="AGENTE CIERRE",Tabla1[[#This Row],[1 Incio Break 1 Lunes]]+0.014," - ")))))</f>
        <v>#ERROR!</v>
      </c>
      <c r="N96" s="51">
        <v>0.6770833333333334</v>
      </c>
      <c r="O96" s="51" t="str">
        <f>IF(G96="AGENTE",Tabla1[[#This Row],[1 Incio Break 2 Lunes]]+0.007,IF(G96="REDES",Tabla1[[#This Row],[1 Incio Break 2 Lunes]]+0.007,IF(G96="AGENTE RM",Tabla1[[#This Row],[1 Incio Break 2 Lunes]]+0.007,IF(G96="AGENTE APERTURA",Tabla1[[#This Row],[1 Incio Break 2 Lunes]]+0.007,IF(G96="AGENTE CIERRE",Tabla1[[#This Row],[1 Incio Break 2 Lunes]]+0.007," - ")))))</f>
        <v>#ERROR!</v>
      </c>
      <c r="P96" s="52" t="str">
        <f t="shared" si="126"/>
        <v>8.0</v>
      </c>
      <c r="Q96" s="51">
        <v>0.5416666666666666</v>
      </c>
      <c r="R96" s="51" t="str">
        <f t="shared" si="127"/>
        <v>18:00</v>
      </c>
      <c r="S96" s="53"/>
      <c r="T96" s="53"/>
      <c r="U96" s="51">
        <v>0.625</v>
      </c>
      <c r="V96" s="51" t="str">
        <f t="shared" si="128"/>
        <v>15:30</v>
      </c>
      <c r="W96" s="53"/>
      <c r="X96" s="53"/>
      <c r="Y96" s="52" t="str">
        <f t="shared" si="129"/>
        <v>5.0</v>
      </c>
      <c r="Z96" s="52" t="str">
        <f t="shared" ref="Z96:AC96" si="135">$P96</f>
        <v>8.0</v>
      </c>
      <c r="AA96" s="52" t="str">
        <f t="shared" si="135"/>
        <v>8.0</v>
      </c>
      <c r="AB96" s="52" t="str">
        <f t="shared" si="135"/>
        <v>8.0</v>
      </c>
      <c r="AC96" s="52" t="str">
        <f t="shared" si="135"/>
        <v>8.0</v>
      </c>
    </row>
    <row r="97" ht="15.75" customHeight="1">
      <c r="E97" s="19" t="str">
        <f>Personal!G74</f>
        <v>Rosbin Omar Salazar Pacay</v>
      </c>
      <c r="F97" s="19" t="s">
        <v>13</v>
      </c>
      <c r="G97" s="19" t="str">
        <f>Personal!H74</f>
        <v>AGENTE</v>
      </c>
      <c r="H97" s="54">
        <v>0.3333333333333333</v>
      </c>
      <c r="I97" s="54" t="str">
        <f t="shared" si="125"/>
        <v>17:00</v>
      </c>
      <c r="J97" s="54">
        <v>0.5833333333333334</v>
      </c>
      <c r="K97" s="54" t="str">
        <f>IF(G97="AGENTE",Tabla1[[#This Row],[1 Inicio Almuerzo Lunes]]+0.042,IF(G97="REDES",Tabla1[[#This Row],[1 Inicio Almuerzo Lunes]]+0.042,IF(G97="AGENTE RM",Tabla1[[#This Row],[1 Inicio Almuerzo Lunes]]+0.042,IF(G97="AGENTE APERTURA",Tabla1[[#This Row],[1 Inicio Almuerzo Lunes]]+0.021,IF(G97="AGENTE CIERRE",Tabla1[[#This Row],[1 Inicio Almuerzo Lunes]]+0.021," - ")))))</f>
        <v>#ERROR!</v>
      </c>
      <c r="L97" s="54">
        <v>0.3958333333333333</v>
      </c>
      <c r="M97" s="54" t="str">
        <f>IF(G97="AGENTE",Tabla1[[#This Row],[1 Incio Break 1 Lunes]]+0.014,IF(G97="REDES",Tabla1[[#This Row],[1 Incio Break 1 Lunes]]+0.014,IF(G97="AGENTE RM",Tabla1[[#This Row],[1 Incio Break 1 Lunes]]+0.014,IF(G97="AGENTE APERTURA",Tabla1[[#This Row],[1 Incio Break 1 Lunes]]+0.014,IF(G97="AGENTE CIERRE",Tabla1[[#This Row],[1 Incio Break 1 Lunes]]+0.014," - ")))))</f>
        <v>#ERROR!</v>
      </c>
      <c r="N97" s="54">
        <v>0.6666666666666666</v>
      </c>
      <c r="O97" s="54" t="str">
        <f>IF(G97="AGENTE",Tabla1[[#This Row],[1 Incio Break 2 Lunes]]+0.007,IF(G97="REDES",Tabla1[[#This Row],[1 Incio Break 2 Lunes]]+0.007,IF(G97="AGENTE RM",Tabla1[[#This Row],[1 Incio Break 2 Lunes]]+0.007,IF(G97="AGENTE APERTURA",Tabla1[[#This Row],[1 Incio Break 2 Lunes]]+0.007,IF(G97="AGENTE CIERRE",Tabla1[[#This Row],[1 Incio Break 2 Lunes]]+0.007," - ")))))</f>
        <v>#ERROR!</v>
      </c>
      <c r="P97" s="55" t="str">
        <f t="shared" si="126"/>
        <v>8.0</v>
      </c>
      <c r="Q97" s="54">
        <v>0.5416666666666666</v>
      </c>
      <c r="R97" s="54" t="str">
        <f t="shared" si="127"/>
        <v>18:00</v>
      </c>
      <c r="S97" s="54"/>
      <c r="T97" s="54"/>
      <c r="U97" s="54">
        <v>0.6041666666666666</v>
      </c>
      <c r="V97" s="54" t="str">
        <f t="shared" si="128"/>
        <v>15:00</v>
      </c>
      <c r="W97" s="54"/>
      <c r="X97" s="54"/>
      <c r="Y97" s="55" t="str">
        <f t="shared" si="129"/>
        <v>5.0</v>
      </c>
      <c r="Z97" s="55" t="str">
        <f t="shared" ref="Z97:AC97" si="136">$P97</f>
        <v>8.0</v>
      </c>
      <c r="AA97" s="55" t="str">
        <f t="shared" si="136"/>
        <v>8.0</v>
      </c>
      <c r="AB97" s="55" t="str">
        <f t="shared" si="136"/>
        <v>8.0</v>
      </c>
      <c r="AC97" s="55" t="str">
        <f t="shared" si="136"/>
        <v>8.0</v>
      </c>
    </row>
    <row r="98" ht="15.75" customHeight="1">
      <c r="E98" s="19" t="str">
        <f>Personal!G75</f>
        <v>-</v>
      </c>
      <c r="F98" s="19" t="s">
        <v>13</v>
      </c>
      <c r="G98" s="19" t="s">
        <v>41</v>
      </c>
      <c r="H98" s="51"/>
      <c r="I98" s="51"/>
      <c r="J98" s="51"/>
      <c r="K98" s="51" t="str">
        <f>IF(G98="AGENTE",Tabla1[[#This Row],[1 Inicio Almuerzo Lunes]]+0.042,IF(G98="REDES",Tabla1[[#This Row],[1 Inicio Almuerzo Lunes]]+0.042,IF(G98="AGENTE RM",Tabla1[[#This Row],[1 Inicio Almuerzo Lunes]]+0.042,IF(G98="AGENTE APERTURA",Tabla1[[#This Row],[1 Inicio Almuerzo Lunes]]+0.021,IF(G98="AGENTE CIERRE",Tabla1[[#This Row],[1 Inicio Almuerzo Lunes]]+0.021," - ")))))</f>
        <v>#ERROR!</v>
      </c>
      <c r="L98" s="51"/>
      <c r="M98" s="51" t="str">
        <f>IF(G98="AGENTE",Tabla1[[#This Row],[1 Incio Break 1 Lunes]]+0.014,IF(G98="REDES",Tabla1[[#This Row],[1 Incio Break 1 Lunes]]+0.014,IF(G98="AGENTE RM",Tabla1[[#This Row],[1 Incio Break 1 Lunes]]+0.014,IF(G98="AGENTE APERTURA",Tabla1[[#This Row],[1 Incio Break 1 Lunes]]+0.014,IF(G98="AGENTE CIERRE",Tabla1[[#This Row],[1 Incio Break 1 Lunes]]+0.014," - ")))))</f>
        <v>#ERROR!</v>
      </c>
      <c r="N98" s="51"/>
      <c r="O98" s="51" t="str">
        <f>IF(G98="AGENTE",Tabla1[[#This Row],[1 Incio Break 2 Lunes]]+0.007,IF(G98="REDES",Tabla1[[#This Row],[1 Incio Break 2 Lunes]]+0.007,IF(G98="AGENTE RM",Tabla1[[#This Row],[1 Incio Break 2 Lunes]]+0.007,IF(G98="AGENTE APERTURA",Tabla1[[#This Row],[1 Incio Break 2 Lunes]]+0.007,IF(G98="AGENTE CIERRE",Tabla1[[#This Row],[1 Incio Break 2 Lunes]]+0.007," - ")))))</f>
        <v>#ERROR!</v>
      </c>
      <c r="P98" s="52" t="str">
        <f t="shared" si="126"/>
        <v>-1.0</v>
      </c>
      <c r="Q98" s="51"/>
      <c r="R98" s="51"/>
      <c r="S98" s="53"/>
      <c r="T98" s="53" t="str">
        <f>IF(G98="AGENTE",Tabla1[[#This Row],[1 Inicio AlmuerzoSabado]]+0.042,IF(G98="REDES",Tabla1[[#This Row],[1 Inicio AlmuerzoSabado]]+0.042,IF(G98="AGENTE RM",Tabla1[[#This Row],[1 Inicio AlmuerzoSabado]]+0.042,IF(G98="AGENTE APERTURA",Tabla1[[#This Row],[1 Inicio AlmuerzoSabado]]+0.021,IF(G98="AGENTE CIERRE",Tabla1[[#This Row],[1 Inicio AlmuerzoSabado]]+0.021," - ")))))</f>
        <v>#ERROR!</v>
      </c>
      <c r="U98" s="51"/>
      <c r="V98" s="51"/>
      <c r="W98" s="53"/>
      <c r="X98" s="53"/>
      <c r="Y98" s="52" t="str">
        <f t="shared" si="129"/>
        <v>0.0</v>
      </c>
      <c r="Z98" s="52" t="str">
        <f t="shared" ref="Z98:AC98" si="137">$P98</f>
        <v>-1.0</v>
      </c>
      <c r="AA98" s="52" t="str">
        <f t="shared" si="137"/>
        <v>-1.0</v>
      </c>
      <c r="AB98" s="52" t="str">
        <f t="shared" si="137"/>
        <v>-1.0</v>
      </c>
      <c r="AC98" s="52" t="str">
        <f t="shared" si="137"/>
        <v>-1.0</v>
      </c>
    </row>
    <row r="99" ht="15.75" customHeight="1">
      <c r="E99" s="19" t="str">
        <f>Personal!G76</f>
        <v>Cristian Manuel Lopez Chavez</v>
      </c>
      <c r="F99" s="19" t="s">
        <v>13</v>
      </c>
      <c r="G99" s="19" t="str">
        <f>Personal!H76</f>
        <v>AGENTE</v>
      </c>
      <c r="H99" s="54">
        <v>0.2916666666666667</v>
      </c>
      <c r="I99" s="54" t="str">
        <f>IF(H99=0," ",IF(Q99=0,(H99+0.417),(H99+0.3756)))</f>
        <v>16:00</v>
      </c>
      <c r="J99" s="54">
        <v>0.5</v>
      </c>
      <c r="K99" s="54" t="str">
        <f>IF(G99="AGENTE",Tabla1[[#This Row],[1 Inicio Almuerzo Lunes]]+0.042,IF(G99="REDES",Tabla1[[#This Row],[1 Inicio Almuerzo Lunes]]+0.042,IF(G99="AGENTE RM",Tabla1[[#This Row],[1 Inicio Almuerzo Lunes]]+0.042,IF(G99="AGENTE APERTURA",Tabla1[[#This Row],[1 Inicio Almuerzo Lunes]]+0.021,IF(G99="AGENTE CIERRE",Tabla1[[#This Row],[1 Inicio Almuerzo Lunes]]+0.021," - ")))))</f>
        <v>#ERROR!</v>
      </c>
      <c r="L99" s="54">
        <v>0.3645833333333333</v>
      </c>
      <c r="M99" s="54" t="str">
        <f>IF(G99="AGENTE",Tabla1[[#This Row],[1 Incio Break 1 Lunes]]+0.014,IF(G99="REDES",Tabla1[[#This Row],[1 Incio Break 1 Lunes]]+0.014,IF(G99="AGENTE RM",Tabla1[[#This Row],[1 Incio Break 1 Lunes]]+0.014,IF(G99="AGENTE APERTURA",Tabla1[[#This Row],[1 Incio Break 1 Lunes]]+0.014,IF(G99="AGENTE CIERRE",Tabla1[[#This Row],[1 Incio Break 1 Lunes]]+0.014," - ")))))</f>
        <v>#ERROR!</v>
      </c>
      <c r="N99" s="54">
        <v>0.6458333333333334</v>
      </c>
      <c r="O99" s="54" t="str">
        <f>IF(G99="AGENTE",Tabla1[[#This Row],[1 Incio Break 2 Lunes]]+0.007,IF(G99="REDES",Tabla1[[#This Row],[1 Incio Break 2 Lunes]]+0.007,IF(G99="AGENTE RM",Tabla1[[#This Row],[1 Incio Break 2 Lunes]]+0.007,IF(G99="AGENTE APERTURA",Tabla1[[#This Row],[1 Incio Break 2 Lunes]]+0.007,IF(G99="AGENTE CIERRE",Tabla1[[#This Row],[1 Incio Break 2 Lunes]]+0.007," - ")))))</f>
        <v>#ERROR!</v>
      </c>
      <c r="P99" s="55" t="str">
        <f t="shared" si="126"/>
        <v>8.0</v>
      </c>
      <c r="Q99" s="54">
        <v>0.5</v>
      </c>
      <c r="R99" s="54" t="str">
        <f>IF(Q99=0,"",Q99+0.209)</f>
        <v>17:00</v>
      </c>
      <c r="S99" s="56"/>
      <c r="T99" s="56"/>
      <c r="U99" s="54">
        <v>0.5</v>
      </c>
      <c r="V99" s="54" t="str">
        <f>IF(U99=0,"",U99+0.021)</f>
        <v>12:30</v>
      </c>
      <c r="W99" s="56"/>
      <c r="X99" s="56"/>
      <c r="Y99" s="55" t="str">
        <f t="shared" si="129"/>
        <v>5.0</v>
      </c>
      <c r="Z99" s="55" t="str">
        <f t="shared" ref="Z99:AC99" si="138">$P99</f>
        <v>8.0</v>
      </c>
      <c r="AA99" s="55" t="str">
        <f t="shared" si="138"/>
        <v>8.0</v>
      </c>
      <c r="AB99" s="55" t="str">
        <f t="shared" si="138"/>
        <v>8.0</v>
      </c>
      <c r="AC99" s="55" t="str">
        <f t="shared" si="138"/>
        <v>8.0</v>
      </c>
    </row>
    <row r="100" ht="15.75" customHeight="1">
      <c r="E100" s="19" t="str">
        <f>Personal!G77</f>
        <v>-</v>
      </c>
      <c r="F100" s="19" t="s">
        <v>13</v>
      </c>
      <c r="G100" s="19" t="s">
        <v>41</v>
      </c>
      <c r="H100" s="51"/>
      <c r="I100" s="51"/>
      <c r="J100" s="51"/>
      <c r="K100" s="51" t="str">
        <f>IF(G100="AGENTE",Tabla1[[#This Row],[1 Inicio Almuerzo Lunes]]+0.042,IF(G100="REDES",Tabla1[[#This Row],[1 Inicio Almuerzo Lunes]]+0.042,IF(G100="AGENTE RM",Tabla1[[#This Row],[1 Inicio Almuerzo Lunes]]+0.042,IF(G100="AGENTE APERTURA",Tabla1[[#This Row],[1 Inicio Almuerzo Lunes]]+0.021,IF(G100="AGENTE CIERRE",Tabla1[[#This Row],[1 Inicio Almuerzo Lunes]]+0.021," - ")))))</f>
        <v>#ERROR!</v>
      </c>
      <c r="L100" s="51"/>
      <c r="M100" s="51" t="str">
        <f>IF(G100="AGENTE",Tabla1[[#This Row],[1 Incio Break 1 Lunes]]+0.014,IF(G100="REDES",Tabla1[[#This Row],[1 Incio Break 1 Lunes]]+0.014,IF(G100="AGENTE RM",Tabla1[[#This Row],[1 Incio Break 1 Lunes]]+0.014,IF(G100="AGENTE APERTURA",Tabla1[[#This Row],[1 Incio Break 1 Lunes]]+0.014,IF(G100="AGENTE CIERRE",Tabla1[[#This Row],[1 Incio Break 1 Lunes]]+0.014," - ")))))</f>
        <v>#ERROR!</v>
      </c>
      <c r="N100" s="51"/>
      <c r="O100" s="51" t="str">
        <f>IF(G100="AGENTE",Tabla1[[#This Row],[1 Incio Break 2 Lunes]]+0.007,IF(G100="REDES",Tabla1[[#This Row],[1 Incio Break 2 Lunes]]+0.007,IF(G100="AGENTE RM",Tabla1[[#This Row],[1 Incio Break 2 Lunes]]+0.007,IF(G100="AGENTE APERTURA",Tabla1[[#This Row],[1 Incio Break 2 Lunes]]+0.007,IF(G100="AGENTE CIERRE",Tabla1[[#This Row],[1 Incio Break 2 Lunes]]+0.007," - ")))))</f>
        <v>#ERROR!</v>
      </c>
      <c r="P100" s="52" t="str">
        <f t="shared" si="126"/>
        <v>-1.0</v>
      </c>
      <c r="Q100" s="51"/>
      <c r="R100" s="51"/>
      <c r="S100" s="53"/>
      <c r="T100" s="53" t="str">
        <f>IF(G100="AGENTE",Tabla1[[#This Row],[1 Inicio AlmuerzoSabado]]+0.042,IF(G100="REDES",Tabla1[[#This Row],[1 Inicio AlmuerzoSabado]]+0.042,IF(G100="AGENTE RM",Tabla1[[#This Row],[1 Inicio AlmuerzoSabado]]+0.042,IF(G100="AGENTE APERTURA",Tabla1[[#This Row],[1 Inicio AlmuerzoSabado]]+0.021,IF(G100="AGENTE CIERRE",Tabla1[[#This Row],[1 Inicio AlmuerzoSabado]]+0.021," - ")))))</f>
        <v>#ERROR!</v>
      </c>
      <c r="U100" s="51"/>
      <c r="V100" s="51"/>
      <c r="W100" s="53"/>
      <c r="X100" s="53"/>
      <c r="Y100" s="52" t="str">
        <f t="shared" si="129"/>
        <v>0.0</v>
      </c>
      <c r="Z100" s="52" t="str">
        <f t="shared" ref="Z100:AC100" si="139">$P100</f>
        <v>-1.0</v>
      </c>
      <c r="AA100" s="52" t="str">
        <f t="shared" si="139"/>
        <v>-1.0</v>
      </c>
      <c r="AB100" s="52" t="str">
        <f t="shared" si="139"/>
        <v>-1.0</v>
      </c>
      <c r="AC100" s="52" t="str">
        <f t="shared" si="139"/>
        <v>-1.0</v>
      </c>
    </row>
    <row r="101" ht="15.75" customHeight="1">
      <c r="E101" s="19" t="str">
        <f>Personal!G78</f>
        <v>Melanee Sucely Lopez Castro</v>
      </c>
      <c r="F101" s="19" t="s">
        <v>13</v>
      </c>
      <c r="G101" s="19" t="str">
        <f>Personal!H78</f>
        <v>AGENTE</v>
      </c>
      <c r="H101" s="54">
        <v>0.3125</v>
      </c>
      <c r="I101" s="54" t="str">
        <f t="shared" ref="I101:I102" si="141">IF(H101=0," ",IF(Q101=0,(H101+0.417),(H101+0.3756)))</f>
        <v>16:30</v>
      </c>
      <c r="J101" s="54">
        <v>0.5416666666666666</v>
      </c>
      <c r="K101" s="54" t="str">
        <f>IF(G101="AGENTE",Tabla1[[#This Row],[1 Inicio Almuerzo Lunes]]+0.042,IF(G101="REDES",Tabla1[[#This Row],[1 Inicio Almuerzo Lunes]]+0.042,IF(G101="AGENTE RM",Tabla1[[#This Row],[1 Inicio Almuerzo Lunes]]+0.042,IF(G101="AGENTE APERTURA",Tabla1[[#This Row],[1 Inicio Almuerzo Lunes]]+0.021,IF(G101="AGENTE CIERRE",Tabla1[[#This Row],[1 Inicio Almuerzo Lunes]]+0.021," - ")))))</f>
        <v>#ERROR!</v>
      </c>
      <c r="L101" s="54">
        <v>0.3645833333333333</v>
      </c>
      <c r="M101" s="54" t="str">
        <f>IF(G101="AGENTE",Tabla1[[#This Row],[1 Incio Break 1 Lunes]]+0.014,IF(G101="REDES",Tabla1[[#This Row],[1 Incio Break 1 Lunes]]+0.014,IF(G101="AGENTE RM",Tabla1[[#This Row],[1 Incio Break 1 Lunes]]+0.014,IF(G101="AGENTE APERTURA",Tabla1[[#This Row],[1 Incio Break 1 Lunes]]+0.014,IF(G101="AGENTE CIERRE",Tabla1[[#This Row],[1 Incio Break 1 Lunes]]+0.014," - ")))))</f>
        <v>#ERROR!</v>
      </c>
      <c r="N101" s="54">
        <v>0.625</v>
      </c>
      <c r="O101" s="54" t="str">
        <f>IF(G101="AGENTE",Tabla1[[#This Row],[1 Incio Break 2 Lunes]]+0.007,IF(G101="REDES",Tabla1[[#This Row],[1 Incio Break 2 Lunes]]+0.007,IF(G101="AGENTE RM",Tabla1[[#This Row],[1 Incio Break 2 Lunes]]+0.007,IF(G101="AGENTE APERTURA",Tabla1[[#This Row],[1 Incio Break 2 Lunes]]+0.007,IF(G101="AGENTE CIERRE",Tabla1[[#This Row],[1 Incio Break 2 Lunes]]+0.007," - ")))))</f>
        <v>#ERROR!</v>
      </c>
      <c r="P101" s="55" t="str">
        <f t="shared" si="126"/>
        <v>8.0</v>
      </c>
      <c r="Q101" s="54">
        <v>0.3333333333333333</v>
      </c>
      <c r="R101" s="54" t="str">
        <f t="shared" ref="R101:R102" si="142">IF(Q101=0,"",Q101+0.209)</f>
        <v>13:00</v>
      </c>
      <c r="S101" s="54"/>
      <c r="T101" s="54"/>
      <c r="U101" s="54">
        <v>0.4166666666666667</v>
      </c>
      <c r="V101" s="54" t="str">
        <f t="shared" ref="V101:V104" si="143">IF(U101=0,"",U101+0.021)</f>
        <v>10:30</v>
      </c>
      <c r="W101" s="54"/>
      <c r="X101" s="54"/>
      <c r="Y101" s="55" t="str">
        <f t="shared" si="129"/>
        <v>5.0</v>
      </c>
      <c r="Z101" s="55" t="str">
        <f t="shared" ref="Z101:AC101" si="140">$P101</f>
        <v>8.0</v>
      </c>
      <c r="AA101" s="55" t="str">
        <f t="shared" si="140"/>
        <v>8.0</v>
      </c>
      <c r="AB101" s="55" t="str">
        <f t="shared" si="140"/>
        <v>8.0</v>
      </c>
      <c r="AC101" s="55" t="str">
        <f t="shared" si="140"/>
        <v>8.0</v>
      </c>
    </row>
    <row r="102" ht="15.75" customHeight="1">
      <c r="E102" s="19" t="str">
        <f>Personal!G79</f>
        <v>Byron Estuardo Grijalva Salguero</v>
      </c>
      <c r="F102" s="19" t="s">
        <v>13</v>
      </c>
      <c r="G102" s="19" t="str">
        <f>Personal!H79</f>
        <v>AGENTE</v>
      </c>
      <c r="H102" s="51">
        <v>0.375</v>
      </c>
      <c r="I102" s="51" t="str">
        <f t="shared" si="141"/>
        <v>18:00</v>
      </c>
      <c r="J102" s="51">
        <v>0.5833333333333334</v>
      </c>
      <c r="K102" s="51" t="str">
        <f>IF(G102="AGENTE",Tabla1[[#This Row],[1 Inicio Almuerzo Lunes]]+0.042,IF(G102="REDES",Tabla1[[#This Row],[1 Inicio Almuerzo Lunes]]+0.042,IF(G102="AGENTE RM",Tabla1[[#This Row],[1 Inicio Almuerzo Lunes]]+0.042,IF(G102="AGENTE APERTURA",Tabla1[[#This Row],[1 Inicio Almuerzo Lunes]]+0.021,IF(G102="AGENTE CIERRE",Tabla1[[#This Row],[1 Inicio Almuerzo Lunes]]+0.021," - ")))))</f>
        <v>#ERROR!</v>
      </c>
      <c r="L102" s="51">
        <v>0.40625</v>
      </c>
      <c r="M102" s="51" t="str">
        <f>IF(G102="AGENTE",Tabla1[[#This Row],[1 Incio Break 1 Lunes]]+0.014,IF(G102="REDES",Tabla1[[#This Row],[1 Incio Break 1 Lunes]]+0.014,IF(G102="AGENTE RM",Tabla1[[#This Row],[1 Incio Break 1 Lunes]]+0.014,IF(G102="AGENTE APERTURA",Tabla1[[#This Row],[1 Incio Break 1 Lunes]]+0.014,IF(G102="AGENTE CIERRE",Tabla1[[#This Row],[1 Incio Break 1 Lunes]]+0.014," - ")))))</f>
        <v>#ERROR!</v>
      </c>
      <c r="N102" s="51">
        <v>0.6979166666666666</v>
      </c>
      <c r="O102" s="51" t="str">
        <f>IF(G102="AGENTE",Tabla1[[#This Row],[1 Incio Break 2 Lunes]]+0.007,IF(G102="REDES",Tabla1[[#This Row],[1 Incio Break 2 Lunes]]+0.007,IF(G102="AGENTE RM",Tabla1[[#This Row],[1 Incio Break 2 Lunes]]+0.007,IF(G102="AGENTE APERTURA",Tabla1[[#This Row],[1 Incio Break 2 Lunes]]+0.007,IF(G102="AGENTE CIERRE",Tabla1[[#This Row],[1 Incio Break 2 Lunes]]+0.007," - ")))))</f>
        <v>#ERROR!</v>
      </c>
      <c r="P102" s="52" t="str">
        <f t="shared" si="126"/>
        <v>8.0</v>
      </c>
      <c r="Q102" s="51">
        <v>0.2916666666666667</v>
      </c>
      <c r="R102" s="51" t="str">
        <f t="shared" si="142"/>
        <v>12:00</v>
      </c>
      <c r="S102" s="53"/>
      <c r="T102" s="53"/>
      <c r="U102" s="51">
        <v>0.3958333333333333</v>
      </c>
      <c r="V102" s="51" t="str">
        <f t="shared" si="143"/>
        <v>10:00</v>
      </c>
      <c r="W102" s="53"/>
      <c r="X102" s="53"/>
      <c r="Y102" s="52" t="str">
        <f t="shared" si="129"/>
        <v>5.0</v>
      </c>
      <c r="Z102" s="52" t="str">
        <f t="shared" ref="Z102:AC102" si="144">$P102</f>
        <v>8.0</v>
      </c>
      <c r="AA102" s="52" t="str">
        <f t="shared" si="144"/>
        <v>8.0</v>
      </c>
      <c r="AB102" s="52" t="str">
        <f t="shared" si="144"/>
        <v>8.0</v>
      </c>
      <c r="AC102" s="52" t="str">
        <f t="shared" si="144"/>
        <v>8.0</v>
      </c>
    </row>
    <row r="103" ht="15.75" customHeight="1">
      <c r="E103" s="19" t="str">
        <f>Personal!G80</f>
        <v>Katherine Johana Chavez Deleon</v>
      </c>
      <c r="F103" s="19" t="s">
        <v>13</v>
      </c>
      <c r="G103" s="19" t="str">
        <f>Personal!H80</f>
        <v>AGENTE CIERRE</v>
      </c>
      <c r="H103" s="54">
        <v>0.6666666666666666</v>
      </c>
      <c r="I103" s="54">
        <v>0.9583333333333334</v>
      </c>
      <c r="J103" s="54">
        <v>0.875</v>
      </c>
      <c r="K103" s="54" t="str">
        <f>IF(G103="AGENTE",Tabla1[[#This Row],[1 Inicio Almuerzo Lunes]]+0.042,IF(G103="REDES",Tabla1[[#This Row],[1 Inicio Almuerzo Lunes]]+0.042,IF(G103="AGENTE RM",Tabla1[[#This Row],[1 Inicio Almuerzo Lunes]]+0.042,IF(G103="AGENTE APERTURA",Tabla1[[#This Row],[1 Inicio Almuerzo Lunes]]+0.021,IF(G103="AGENTE CIERRE",Tabla1[[#This Row],[1 Inicio Almuerzo Lunes]]+0.021," - ")))))</f>
        <v>#ERROR!</v>
      </c>
      <c r="L103" s="54">
        <v>0.8958333333333334</v>
      </c>
      <c r="M103" s="54" t="str">
        <f>IF(G103="AGENTE",Tabla1[[#This Row],[1 Incio Break 1 Lunes]]+0.014,IF(G103="REDES",Tabla1[[#This Row],[1 Incio Break 1 Lunes]]+0.014,IF(G103="AGENTE RM",Tabla1[[#This Row],[1 Incio Break 1 Lunes]]+0.014,IF(G103="AGENTE APERTURA",Tabla1[[#This Row],[1 Incio Break 1 Lunes]]+0.014,IF(G103="AGENTE CIERRE",Tabla1[[#This Row],[1 Incio Break 1 Lunes]]+0.014," - ")))))</f>
        <v>#ERROR!</v>
      </c>
      <c r="N103" s="54">
        <v>0.9097222222222222</v>
      </c>
      <c r="O103" s="54" t="str">
        <f>IF(G103="AGENTE",Tabla1[[#This Row],[1 Incio Break 2 Lunes]]+0.007,IF(G103="REDES",Tabla1[[#This Row],[1 Incio Break 2 Lunes]]+0.007,IF(G103="AGENTE RM",Tabla1[[#This Row],[1 Incio Break 2 Lunes]]+0.007,IF(G103="AGENTE APERTURA",Tabla1[[#This Row],[1 Incio Break 2 Lunes]]+0.007,IF(G103="AGENTE CIERRE",Tabla1[[#This Row],[1 Incio Break 2 Lunes]]+0.007," - ")))))</f>
        <v>#ERROR!</v>
      </c>
      <c r="P103" s="55" t="str">
        <f t="shared" si="126"/>
        <v>6.0</v>
      </c>
      <c r="Q103" s="54">
        <v>0.6666666666666666</v>
      </c>
      <c r="R103" s="54">
        <v>0.9583333333333334</v>
      </c>
      <c r="S103" s="54">
        <v>0.875</v>
      </c>
      <c r="T103" s="54" t="str">
        <f>IF(G103="AGENTE",Tabla1[[#This Row],[1 Inicio AlmuerzoSabado]]+0.042,IF(G103="REDES",Tabla1[[#This Row],[1 Inicio AlmuerzoSabado]]+0.042,IF(G103="AGENTE RM",Tabla1[[#This Row],[1 Inicio AlmuerzoSabado]]+0.042,IF(G103="AGENTE APERTURA",Tabla1[[#This Row],[1 Inicio AlmuerzoSabado]]+0.021,IF(G103="AGENTE CIERRE",Tabla1[[#This Row],[1 Inicio AlmuerzoSabado]]+0.021," - ")))))</f>
        <v>#ERROR!</v>
      </c>
      <c r="U103" s="54">
        <v>0.8958333333333334</v>
      </c>
      <c r="V103" s="54" t="str">
        <f t="shared" si="143"/>
        <v>22:00</v>
      </c>
      <c r="W103" s="54">
        <v>0.9097222222222222</v>
      </c>
      <c r="X103" s="54" t="str">
        <f>IF(G103="AGENTE",Tabla1[[#This Row],[1 Incio Break 2 Sabado]]+0.007,IF(G103="REDES",Tabla1[[#This Row],[1 Incio Break 2 Sabado]]+0.007,IF(G103="AGENTE RM",Tabla1[[#This Row],[1 Incio Break 2 Sabado]]+0.007,IF(G103="AGENTE APERTURA",Tabla1[[#This Row],[1 Incio Break 2 Sabado]]+0.007,IF(G103="AGENTE CIERRE",Tabla1[[#This Row],[1 Incio Break 2 Sabado]]+0.007," - ")))))</f>
        <v>#ERROR!</v>
      </c>
      <c r="Y103" s="55" t="str">
        <f t="shared" si="129"/>
        <v>7.0</v>
      </c>
      <c r="Z103" s="55" t="str">
        <f t="shared" ref="Z103:AC103" si="145">$P103</f>
        <v>6.0</v>
      </c>
      <c r="AA103" s="55" t="str">
        <f t="shared" si="145"/>
        <v>6.0</v>
      </c>
      <c r="AB103" s="55" t="str">
        <f t="shared" si="145"/>
        <v>6.0</v>
      </c>
      <c r="AC103" s="55" t="str">
        <f t="shared" si="145"/>
        <v>6.0</v>
      </c>
    </row>
    <row r="104" ht="15.75" customHeight="1">
      <c r="E104" s="19" t="str">
        <f>Personal!G81</f>
        <v>Cinthia Marbelly Lopez Zelada</v>
      </c>
      <c r="F104" s="19" t="s">
        <v>13</v>
      </c>
      <c r="G104" s="19" t="str">
        <f>Personal!H81</f>
        <v>AGENTE</v>
      </c>
      <c r="H104" s="51">
        <v>0.375</v>
      </c>
      <c r="I104" s="51" t="str">
        <f>IF(H104=0," ",IF(Q104=0,(H104+0.417),(H104+0.3756)))</f>
        <v>18:00</v>
      </c>
      <c r="J104" s="51">
        <v>0.5833333333333334</v>
      </c>
      <c r="K104" s="51" t="str">
        <f>IF(G104="AGENTE",Tabla1[[#This Row],[1 Inicio Almuerzo Lunes]]+0.042,IF(G104="REDES",Tabla1[[#This Row],[1 Inicio Almuerzo Lunes]]+0.042,IF(G104="AGENTE RM",Tabla1[[#This Row],[1 Inicio Almuerzo Lunes]]+0.042,IF(G104="AGENTE APERTURA",Tabla1[[#This Row],[1 Inicio Almuerzo Lunes]]+0.021,IF(G104="AGENTE CIERRE",Tabla1[[#This Row],[1 Inicio Almuerzo Lunes]]+0.021," - ")))))</f>
        <v>#ERROR!</v>
      </c>
      <c r="L104" s="51">
        <v>0.40625</v>
      </c>
      <c r="M104" s="51" t="str">
        <f>IF(G104="AGENTE",Tabla1[[#This Row],[1 Incio Break 1 Lunes]]+0.014,IF(G104="REDES",Tabla1[[#This Row],[1 Incio Break 1 Lunes]]+0.014,IF(G104="AGENTE RM",Tabla1[[#This Row],[1 Incio Break 1 Lunes]]+0.014,IF(G104="AGENTE APERTURA",Tabla1[[#This Row],[1 Incio Break 1 Lunes]]+0.014,IF(G104="AGENTE CIERRE",Tabla1[[#This Row],[1 Incio Break 1 Lunes]]+0.014," - ")))))</f>
        <v>#ERROR!</v>
      </c>
      <c r="N104" s="51">
        <v>0.6979166666666666</v>
      </c>
      <c r="O104" s="51" t="str">
        <f>IF(G104="AGENTE",Tabla1[[#This Row],[1 Incio Break 2 Lunes]]+0.007,IF(G104="REDES",Tabla1[[#This Row],[1 Incio Break 2 Lunes]]+0.007,IF(G104="AGENTE RM",Tabla1[[#This Row],[1 Incio Break 2 Lunes]]+0.007,IF(G104="AGENTE APERTURA",Tabla1[[#This Row],[1 Incio Break 2 Lunes]]+0.007,IF(G104="AGENTE CIERRE",Tabla1[[#This Row],[1 Incio Break 2 Lunes]]+0.007," - ")))))</f>
        <v>#ERROR!</v>
      </c>
      <c r="P104" s="52" t="str">
        <f t="shared" si="126"/>
        <v>8.0</v>
      </c>
      <c r="Q104" s="51">
        <v>0.4583333333333333</v>
      </c>
      <c r="R104" s="51" t="str">
        <f>IF(Q104=0,"",Q104+0.209)</f>
        <v>16:00</v>
      </c>
      <c r="S104" s="53"/>
      <c r="T104" s="53"/>
      <c r="U104" s="51">
        <v>0.5833333333333334</v>
      </c>
      <c r="V104" s="51" t="str">
        <f t="shared" si="143"/>
        <v>14:30</v>
      </c>
      <c r="W104" s="53"/>
      <c r="X104" s="53"/>
      <c r="Y104" s="52" t="str">
        <f t="shared" si="129"/>
        <v>5.0</v>
      </c>
      <c r="Z104" s="52" t="str">
        <f t="shared" ref="Z104:AC104" si="146">$P104</f>
        <v>8.0</v>
      </c>
      <c r="AA104" s="52" t="str">
        <f t="shared" si="146"/>
        <v>8.0</v>
      </c>
      <c r="AB104" s="52" t="str">
        <f t="shared" si="146"/>
        <v>8.0</v>
      </c>
      <c r="AC104" s="52" t="str">
        <f t="shared" si="146"/>
        <v>8.0</v>
      </c>
    </row>
    <row r="105" ht="15.75" customHeight="1">
      <c r="E105" s="19" t="str">
        <f>Personal!G82</f>
        <v>-</v>
      </c>
      <c r="F105" s="19" t="s">
        <v>13</v>
      </c>
      <c r="G105" s="19"/>
      <c r="H105" s="54"/>
      <c r="I105" s="54"/>
      <c r="J105" s="54"/>
      <c r="K105" s="54" t="str">
        <f>IF(G105="AGENTE",Tabla1[[#This Row],[1 Inicio Almuerzo Lunes]]+0.042,IF(G105="REDES",Tabla1[[#This Row],[1 Inicio Almuerzo Lunes]]+0.042,IF(G105="AGENTE RM",Tabla1[[#This Row],[1 Inicio Almuerzo Lunes]]+0.042,IF(G105="AGENTE APERTURA",Tabla1[[#This Row],[1 Inicio Almuerzo Lunes]]+0.021,IF(G105="AGENTE CIERRE",Tabla1[[#This Row],[1 Inicio Almuerzo Lunes]]+0.021," - ")))))</f>
        <v>#ERROR!</v>
      </c>
      <c r="L105" s="54"/>
      <c r="M105" s="54" t="str">
        <f>IF(G105="AGENTE",Tabla1[[#This Row],[1 Incio Break 1 Lunes]]+0.014,IF(G105="REDES",Tabla1[[#This Row],[1 Incio Break 1 Lunes]]+0.014,IF(G105="AGENTE RM",Tabla1[[#This Row],[1 Incio Break 1 Lunes]]+0.014,IF(G105="AGENTE APERTURA",Tabla1[[#This Row],[1 Incio Break 1 Lunes]]+0.014,IF(G105="AGENTE CIERRE",Tabla1[[#This Row],[1 Incio Break 1 Lunes]]+0.014," - ")))))</f>
        <v>#ERROR!</v>
      </c>
      <c r="N105" s="54"/>
      <c r="O105" s="54" t="str">
        <f>IF(G105="AGENTE",Tabla1[[#This Row],[1 Incio Break 2 Lunes]]+0.007,IF(G105="REDES",Tabla1[[#This Row],[1 Incio Break 2 Lunes]]+0.007,IF(G105="AGENTE RM",Tabla1[[#This Row],[1 Incio Break 2 Lunes]]+0.007,IF(G105="AGENTE APERTURA",Tabla1[[#This Row],[1 Incio Break 2 Lunes]]+0.007,IF(G105="AGENTE CIERRE",Tabla1[[#This Row],[1 Incio Break 2 Lunes]]+0.007," - ")))))</f>
        <v>#ERROR!</v>
      </c>
      <c r="P105" s="55"/>
      <c r="Q105" s="54"/>
      <c r="R105" s="54"/>
      <c r="S105" s="54"/>
      <c r="T105" s="54"/>
      <c r="U105" s="54"/>
      <c r="V105" s="54"/>
      <c r="W105" s="54"/>
      <c r="X105" s="54"/>
      <c r="Y105" s="55"/>
      <c r="Z105" s="55"/>
      <c r="AA105" s="55"/>
      <c r="AB105" s="55"/>
      <c r="AC105" s="55"/>
    </row>
  </sheetData>
  <autoFilter ref="$AD$5:$AD$36"/>
  <mergeCells count="13">
    <mergeCell ref="C3:C5"/>
    <mergeCell ref="D3:D5"/>
    <mergeCell ref="N4:O4"/>
    <mergeCell ref="H4:I4"/>
    <mergeCell ref="J4:K4"/>
    <mergeCell ref="L4:M4"/>
    <mergeCell ref="Q3:Y3"/>
    <mergeCell ref="U4:V4"/>
    <mergeCell ref="Q4:R4"/>
    <mergeCell ref="S4:T4"/>
    <mergeCell ref="W4:X4"/>
    <mergeCell ref="B3:B5"/>
    <mergeCell ref="H3:P3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5.0" topLeftCell="F6" activePane="bottomRight" state="frozen"/>
      <selection activeCell="F1" sqref="F1" pane="topRight"/>
      <selection activeCell="A6" sqref="A6" pane="bottomLeft"/>
      <selection activeCell="F6" sqref="F6" pane="bottomRight"/>
    </sheetView>
  </sheetViews>
  <sheetFormatPr customHeight="1" defaultColWidth="16.83" defaultRowHeight="15.0" outlineLevelCol="1"/>
  <cols>
    <col customWidth="1" min="1" max="1" width="1.0"/>
    <col customWidth="1" min="2" max="2" width="3.5"/>
    <col customWidth="1" hidden="1" min="3" max="3" width="8.67"/>
    <col customWidth="1" hidden="1" min="4" max="4" width="7.83"/>
    <col customWidth="1" min="5" max="5" width="40.5"/>
    <col customWidth="1" min="6" max="6" width="17.5"/>
    <col customWidth="1" min="7" max="7" width="12.5"/>
    <col customWidth="1" min="8" max="8" width="16.33"/>
    <col customWidth="1" min="9" max="9" width="14.83"/>
    <col customWidth="1" min="10" max="10" width="23.33"/>
    <col customWidth="1" min="11" max="11" width="26.0"/>
    <col customWidth="1" min="12" max="12" width="21.17" outlineLevel="1"/>
    <col customWidth="1" min="13" max="13" width="24.5" outlineLevel="1"/>
    <col customWidth="1" min="14" max="14" width="21.17" outlineLevel="1"/>
    <col customWidth="1" min="15" max="15" width="24.5" outlineLevel="1"/>
    <col customWidth="1" min="16" max="16" width="14.67"/>
    <col customWidth="1" min="17" max="17" width="17.83"/>
    <col customWidth="1" min="18" max="18" width="16.33"/>
    <col customWidth="1" min="19" max="19" width="24.17"/>
    <col customWidth="1" min="20" max="20" width="27.67"/>
    <col customWidth="1" min="21" max="21" width="22.5"/>
    <col customWidth="1" min="22" max="22" width="26.0"/>
    <col customWidth="1" min="23" max="23" width="22.5"/>
    <col customWidth="1" min="24" max="24" width="26.0"/>
    <col customWidth="1" min="25" max="26" width="16.0"/>
    <col customWidth="1" min="27" max="27" width="18.33"/>
    <col customWidth="1" min="28" max="28" width="15.5"/>
    <col customWidth="1" min="29" max="29" width="16.33"/>
    <col customWidth="1" min="30" max="30" width="13.67"/>
  </cols>
  <sheetData>
    <row r="1">
      <c r="P1" s="49" t="s">
        <v>101</v>
      </c>
      <c r="Y1" s="49" t="s">
        <v>102</v>
      </c>
      <c r="Z1" s="49"/>
      <c r="AA1" s="49"/>
      <c r="AB1" s="49"/>
      <c r="AC1" s="49"/>
    </row>
    <row r="2">
      <c r="E2" t="s">
        <v>0</v>
      </c>
    </row>
    <row r="3" ht="14.25" customHeight="1">
      <c r="B3" s="1" t="s">
        <v>1</v>
      </c>
      <c r="C3" s="1" t="s">
        <v>2</v>
      </c>
      <c r="D3" s="1" t="s">
        <v>3</v>
      </c>
      <c r="E3" s="2" t="s">
        <v>4</v>
      </c>
      <c r="F3" s="2"/>
      <c r="G3" s="2"/>
      <c r="H3" s="3" t="s">
        <v>5</v>
      </c>
      <c r="I3" s="4"/>
      <c r="J3" s="4"/>
      <c r="K3" s="4"/>
      <c r="L3" s="4"/>
      <c r="M3" s="4"/>
      <c r="N3" s="4"/>
      <c r="O3" s="4"/>
      <c r="P3" s="5"/>
      <c r="Q3" s="3" t="s">
        <v>6</v>
      </c>
      <c r="R3" s="4"/>
      <c r="S3" s="4"/>
      <c r="T3" s="4"/>
      <c r="U3" s="4"/>
      <c r="V3" s="4"/>
      <c r="W3" s="4"/>
      <c r="X3" s="4"/>
      <c r="Y3" s="5"/>
      <c r="Z3" s="6"/>
      <c r="AA3" s="6"/>
      <c r="AB3" s="6"/>
      <c r="AC3" s="6"/>
      <c r="AD3" s="7"/>
    </row>
    <row r="4">
      <c r="B4" s="8"/>
      <c r="C4" s="8"/>
      <c r="D4" s="8"/>
      <c r="E4" s="9" t="s">
        <v>7</v>
      </c>
      <c r="F4" s="9"/>
      <c r="G4" s="9"/>
      <c r="H4" s="10" t="s">
        <v>8</v>
      </c>
      <c r="I4" s="11"/>
      <c r="J4" s="10" t="s">
        <v>9</v>
      </c>
      <c r="K4" s="11"/>
      <c r="L4" s="10" t="s">
        <v>10</v>
      </c>
      <c r="M4" s="11"/>
      <c r="N4" s="10" t="s">
        <v>11</v>
      </c>
      <c r="O4" s="11"/>
      <c r="P4" s="12"/>
      <c r="Q4" s="10" t="s">
        <v>8</v>
      </c>
      <c r="R4" s="11"/>
      <c r="S4" s="10" t="s">
        <v>9</v>
      </c>
      <c r="T4" s="11"/>
      <c r="U4" s="10" t="s">
        <v>10</v>
      </c>
      <c r="V4" s="11"/>
      <c r="W4" s="10" t="s">
        <v>11</v>
      </c>
      <c r="X4" s="11"/>
      <c r="Y4" s="12"/>
      <c r="Z4" s="13"/>
      <c r="AA4" s="13"/>
      <c r="AB4" s="13"/>
      <c r="AC4" s="13"/>
      <c r="AD4" s="7"/>
    </row>
    <row r="5">
      <c r="B5" s="14"/>
      <c r="C5" s="14"/>
      <c r="D5" s="14"/>
      <c r="E5" s="15" t="s">
        <v>12</v>
      </c>
      <c r="F5" s="15" t="s">
        <v>127</v>
      </c>
      <c r="G5" s="15" t="s">
        <v>14</v>
      </c>
      <c r="H5" s="16" t="s">
        <v>128</v>
      </c>
      <c r="I5" s="16" t="s">
        <v>129</v>
      </c>
      <c r="J5" s="16" t="s">
        <v>130</v>
      </c>
      <c r="K5" s="16" t="s">
        <v>131</v>
      </c>
      <c r="L5" s="16" t="s">
        <v>132</v>
      </c>
      <c r="M5" s="16" t="s">
        <v>133</v>
      </c>
      <c r="N5" s="16" t="s">
        <v>134</v>
      </c>
      <c r="O5" s="16" t="s">
        <v>135</v>
      </c>
      <c r="P5" s="16" t="s">
        <v>136</v>
      </c>
      <c r="Q5" s="16" t="s">
        <v>137</v>
      </c>
      <c r="R5" s="16" t="s">
        <v>138</v>
      </c>
      <c r="S5" s="16" t="s">
        <v>139</v>
      </c>
      <c r="T5" s="16" t="s">
        <v>140</v>
      </c>
      <c r="U5" s="16" t="s">
        <v>141</v>
      </c>
      <c r="V5" s="16" t="s">
        <v>142</v>
      </c>
      <c r="W5" s="16" t="s">
        <v>143</v>
      </c>
      <c r="X5" s="16" t="s">
        <v>144</v>
      </c>
      <c r="Y5" s="16" t="s">
        <v>145</v>
      </c>
      <c r="Z5" s="17" t="s">
        <v>146</v>
      </c>
      <c r="AA5" s="17" t="s">
        <v>147</v>
      </c>
      <c r="AB5" s="17" t="s">
        <v>148</v>
      </c>
      <c r="AC5" s="17" t="s">
        <v>149</v>
      </c>
      <c r="AD5" s="7" t="s">
        <v>150</v>
      </c>
    </row>
    <row r="6">
      <c r="B6" s="18">
        <v>1.0</v>
      </c>
      <c r="C6" s="18" t="s">
        <v>38</v>
      </c>
      <c r="D6" s="19"/>
      <c r="E6" s="20" t="str">
        <f>Personal!G6</f>
        <v>Nancy Beatriz Pedroza</v>
      </c>
      <c r="F6" s="20" t="s">
        <v>13</v>
      </c>
      <c r="G6" s="20" t="str">
        <f>Personal!H6</f>
        <v>AGENTE</v>
      </c>
      <c r="H6" s="21">
        <v>0.7083333333333334</v>
      </c>
      <c r="I6" s="21">
        <v>1.0</v>
      </c>
      <c r="J6" s="21">
        <v>0.7916666666666666</v>
      </c>
      <c r="K6" s="21">
        <v>0.8125</v>
      </c>
      <c r="L6" s="21">
        <v>0.8125</v>
      </c>
      <c r="M6" s="21" t="str">
        <f>IF(G6="AGENTE",'Semana 1'!$L6+0.014,IF(G6="REDES",'Semana 1'!$L6+0.014,IF(G6="AGENTE RM",'Semana 1'!$L6+0.014,IF(G6="AGENTE APERTURA",'Semana 1'!$L6+0.014,IF(G6="AGENTE CIERRE",'Semana 1'!$L6+0.014," - ")))))</f>
        <v>19:50</v>
      </c>
      <c r="N6" s="21">
        <v>0.8263888888888888</v>
      </c>
      <c r="O6" s="21" t="str">
        <f>IF(G6="AGENTE",'Semana 1'!$N6+0.007,IF(G6="REDES",'Semana 1'!$N6+0.007,IF(G6="AGENTE RM",'Semana 1'!$N6+0.007,IF(G6="AGENTE APERTURA",'Semana 1'!$N6+0.007,IF(G6="AGENTE CIERRE",'Semana 1'!$N6+0.007," - ")))))</f>
        <v>20:00</v>
      </c>
      <c r="P6" s="22" t="str">
        <f t="shared" ref="P6:P87" si="2">(IFERROR(I6-H6,0)*24)-1</f>
        <v>6.0</v>
      </c>
      <c r="Q6" s="21">
        <v>0.7083333333333334</v>
      </c>
      <c r="R6" s="21">
        <v>1.0</v>
      </c>
      <c r="S6" s="28">
        <v>0.7916666666666666</v>
      </c>
      <c r="T6" s="28">
        <v>0.8125</v>
      </c>
      <c r="U6" s="21">
        <v>0.8125</v>
      </c>
      <c r="V6" s="21">
        <v>0.8265</v>
      </c>
      <c r="W6" s="28">
        <v>0.8263888888888888</v>
      </c>
      <c r="X6" s="28">
        <v>0.8333888888888888</v>
      </c>
      <c r="Y6" s="22" t="str">
        <f>(IFERROR(R6-Q6,0)*24)-1</f>
        <v>6.0</v>
      </c>
      <c r="Z6" s="22" t="str">
        <f t="shared" ref="Z6:AC6" si="1">$P6</f>
        <v>6.0</v>
      </c>
      <c r="AA6" s="22" t="str">
        <f t="shared" si="1"/>
        <v>6.0</v>
      </c>
      <c r="AB6" s="22" t="str">
        <f t="shared" si="1"/>
        <v>6.0</v>
      </c>
      <c r="AC6" s="22" t="str">
        <f t="shared" si="1"/>
        <v>6.0</v>
      </c>
      <c r="AD6" s="23" t="str">
        <f t="shared" ref="AD6:AD81" si="4">P6+Z6+AA6+AB6+AC6+Y6</f>
        <v>36</v>
      </c>
    </row>
    <row r="7">
      <c r="B7" s="18">
        <v>2.0</v>
      </c>
      <c r="C7" s="18" t="s">
        <v>38</v>
      </c>
      <c r="D7" s="19"/>
      <c r="E7" s="20" t="str">
        <f>Personal!G7</f>
        <v>Carina Alejandra Peliz Reban</v>
      </c>
      <c r="F7" s="20" t="s">
        <v>13</v>
      </c>
      <c r="G7" s="20" t="str">
        <f>Personal!H7</f>
        <v>REDES</v>
      </c>
      <c r="H7" s="24">
        <v>0.375</v>
      </c>
      <c r="I7" s="24" t="str">
        <f t="shared" ref="I7:I25" si="5">IF(H7=0," ",IF(Q7=0,(H7+0.417),(H7+0.3756)))</f>
        <v>18:00</v>
      </c>
      <c r="J7" s="24">
        <v>0.5</v>
      </c>
      <c r="K7" s="24" t="str">
        <f>IF(G7="AGENTE",'Semana 1'!$J7+0.042,IF(G7="REDES",'Semana 1'!$J7+0.042,IF(G7="AGENTE RM",'Semana 1'!$J7+0.042,IF(G7="AGENTE APERTURA",'Semana 1'!$J7+0.021,IF(G7="AGENTE CIERRE",'Semana 1'!$J7+0.021," - ")))))</f>
        <v>13:00</v>
      </c>
      <c r="L7" s="24">
        <v>0.4166666666666667</v>
      </c>
      <c r="M7" s="24" t="str">
        <f>IF(G7="AGENTE",'Semana 1'!$L7+0.014,IF(G7="REDES",'Semana 1'!$L7+0.014,IF(G7="AGENTE RM",'Semana 1'!$L7+0.014,IF(G7="AGENTE APERTURA",'Semana 1'!$L7+0.014,IF(G7="AGENTE CIERRE",'Semana 1'!$L7+0.014," - ")))))</f>
        <v>10:20</v>
      </c>
      <c r="N7" s="24">
        <v>0.6458333333333334</v>
      </c>
      <c r="O7" s="24" t="str">
        <f>IF(G7="AGENTE",'Semana 1'!$N7+0.007,IF(G7="REDES",'Semana 1'!$N7+0.007,IF(G7="AGENTE RM",'Semana 1'!$N7+0.007,IF(G7="AGENTE APERTURA",'Semana 1'!$N7+0.007,IF(G7="AGENTE CIERRE",'Semana 1'!$N7+0.007," - ")))))</f>
        <v>15:40</v>
      </c>
      <c r="P7" s="25" t="str">
        <f t="shared" si="2"/>
        <v>8.0</v>
      </c>
      <c r="Q7" s="24">
        <v>0.4166666666666667</v>
      </c>
      <c r="R7" s="24" t="str">
        <f>IF(Q7=0,"",Q7+0.209)</f>
        <v>15:00</v>
      </c>
      <c r="S7" s="26"/>
      <c r="T7" s="26"/>
      <c r="U7" s="24">
        <v>0.4375</v>
      </c>
      <c r="V7" s="24" t="str">
        <f t="shared" ref="V7:V10" si="6">IF(U7=0,"",U7+0.021)</f>
        <v>11:00</v>
      </c>
      <c r="W7" s="26"/>
      <c r="X7" s="26"/>
      <c r="Y7" s="25" t="str">
        <f t="shared" ref="Y7:Y25" si="7">(IFERROR(R7-Q7,0)*24)</f>
        <v>5.0</v>
      </c>
      <c r="Z7" s="25" t="str">
        <f t="shared" ref="Z7:AC7" si="3">$P7</f>
        <v>8.0</v>
      </c>
      <c r="AA7" s="25" t="str">
        <f t="shared" si="3"/>
        <v>8.0</v>
      </c>
      <c r="AB7" s="25" t="str">
        <f t="shared" si="3"/>
        <v>8.0</v>
      </c>
      <c r="AC7" s="25" t="str">
        <f t="shared" si="3"/>
        <v>8.0</v>
      </c>
      <c r="AD7" s="27" t="str">
        <f t="shared" si="4"/>
        <v>45</v>
      </c>
    </row>
    <row r="8">
      <c r="B8" s="18">
        <v>3.0</v>
      </c>
      <c r="C8" s="18" t="s">
        <v>39</v>
      </c>
      <c r="D8" s="19"/>
      <c r="E8" s="20" t="str">
        <f>Personal!G8</f>
        <v>-</v>
      </c>
      <c r="F8" s="20" t="s">
        <v>13</v>
      </c>
      <c r="G8" s="20" t="str">
        <f>Personal!H8</f>
        <v>-</v>
      </c>
      <c r="H8" s="21"/>
      <c r="I8" s="21" t="str">
        <f t="shared" si="5"/>
        <v> </v>
      </c>
      <c r="J8" s="21"/>
      <c r="K8" s="21" t="str">
        <f>IF(G8="AGENTE",'Semana 1'!$J8+0.042,IF(G8="REDES",'Semana 1'!$J8+0.042,IF(G8="AGENTE RM",'Semana 1'!$J8+0.042,IF(G8="AGENTE APERTURA",'Semana 1'!$J8+0.021,IF(G8="AGENTE CIERRE",'Semana 1'!$J8+0.021," - ")))))</f>
        <v> - </v>
      </c>
      <c r="L8" s="21"/>
      <c r="M8" s="21" t="str">
        <f>IF(G8="AGENTE",'Semana 1'!$L8+0.014,IF(G8="REDES",'Semana 1'!$L8+0.014,IF(G8="AGENTE RM",'Semana 1'!$L8+0.014,IF(G8="AGENTE APERTURA",'Semana 1'!$L8+0.014,IF(G8="AGENTE CIERRE",'Semana 1'!$L8+0.014," - ")))))</f>
        <v> - </v>
      </c>
      <c r="N8" s="21"/>
      <c r="O8" s="21" t="str">
        <f>IF(G8="AGENTE",'Semana 1'!$N8+0.007,IF(G8="REDES",'Semana 1'!$N8+0.007,IF(G8="AGENTE RM",'Semana 1'!$N8+0.007,IF(G8="AGENTE APERTURA",'Semana 1'!$N8+0.007,IF(G8="AGENTE CIERRE",'Semana 1'!$N8+0.007," - ")))))</f>
        <v> - </v>
      </c>
      <c r="P8" s="22" t="str">
        <f t="shared" si="2"/>
        <v>-1.0</v>
      </c>
      <c r="Q8" s="21"/>
      <c r="R8" s="21"/>
      <c r="S8" s="21"/>
      <c r="T8" s="21"/>
      <c r="U8" s="21"/>
      <c r="V8" s="21" t="str">
        <f t="shared" si="6"/>
        <v/>
      </c>
      <c r="W8" s="21"/>
      <c r="X8" s="21"/>
      <c r="Y8" s="22" t="str">
        <f t="shared" si="7"/>
        <v>0.0</v>
      </c>
      <c r="Z8" s="22" t="str">
        <f t="shared" ref="Z8:AC8" si="8">$P8</f>
        <v>-1.0</v>
      </c>
      <c r="AA8" s="22" t="str">
        <f t="shared" si="8"/>
        <v>-1.0</v>
      </c>
      <c r="AB8" s="22" t="str">
        <f t="shared" si="8"/>
        <v>-1.0</v>
      </c>
      <c r="AC8" s="22" t="str">
        <f t="shared" si="8"/>
        <v>-1.0</v>
      </c>
      <c r="AD8" s="23" t="str">
        <f t="shared" si="4"/>
        <v>-5</v>
      </c>
    </row>
    <row r="9">
      <c r="B9" s="18">
        <v>4.0</v>
      </c>
      <c r="C9" s="18" t="s">
        <v>38</v>
      </c>
      <c r="D9" s="19"/>
      <c r="E9" s="20" t="str">
        <f>Personal!G9</f>
        <v>Daisy Yomara Mateo</v>
      </c>
      <c r="F9" s="20" t="s">
        <v>13</v>
      </c>
      <c r="G9" s="20" t="str">
        <f>Personal!H9</f>
        <v>SOPORTE</v>
      </c>
      <c r="H9" s="24"/>
      <c r="I9" s="24" t="str">
        <f t="shared" si="5"/>
        <v> </v>
      </c>
      <c r="J9" s="24"/>
      <c r="K9" s="24" t="str">
        <f>IF(G9="AGENTE",'Semana 1'!$J9+0.042,IF(G9="REDES",'Semana 1'!$J9+0.042,IF(G9="AGENTE RM",'Semana 1'!$J9+0.042,IF(G9="AGENTE APERTURA",'Semana 1'!$J9+0.021,IF(G9="AGENTE CIERRE",'Semana 1'!$J9+0.021," - ")))))</f>
        <v> - </v>
      </c>
      <c r="L9" s="24"/>
      <c r="M9" s="24" t="str">
        <f>IF(G9="AGENTE",'Semana 1'!$L9+0.014,IF(G9="REDES",'Semana 1'!$L9+0.014,IF(G9="AGENTE RM",'Semana 1'!$L9+0.014,IF(G9="AGENTE APERTURA",'Semana 1'!$L9+0.014,IF(G9="AGENTE CIERRE",'Semana 1'!$L9+0.014," - ")))))</f>
        <v> - </v>
      </c>
      <c r="N9" s="24"/>
      <c r="O9" s="24" t="str">
        <f>IF(G9="AGENTE",'Semana 1'!$N9+0.007,IF(G9="REDES",'Semana 1'!$N9+0.007,IF(G9="AGENTE RM",'Semana 1'!$N9+0.007,IF(G9="AGENTE APERTURA",'Semana 1'!$N9+0.007,IF(G9="AGENTE CIERRE",'Semana 1'!$N9+0.007," - ")))))</f>
        <v> - </v>
      </c>
      <c r="P9" s="25" t="str">
        <f t="shared" si="2"/>
        <v>-1.0</v>
      </c>
      <c r="Q9" s="24"/>
      <c r="R9" s="24" t="str">
        <f t="shared" ref="R9:R25" si="10">IF(Q9=0,"",Q9+0.209)</f>
        <v/>
      </c>
      <c r="S9" s="26"/>
      <c r="T9" s="26"/>
      <c r="U9" s="24"/>
      <c r="V9" s="24" t="str">
        <f t="shared" si="6"/>
        <v/>
      </c>
      <c r="W9" s="26"/>
      <c r="X9" s="26"/>
      <c r="Y9" s="25" t="str">
        <f t="shared" si="7"/>
        <v>0.0</v>
      </c>
      <c r="Z9" s="25" t="str">
        <f t="shared" ref="Z9:AC9" si="9">$P9</f>
        <v>-1.0</v>
      </c>
      <c r="AA9" s="25" t="str">
        <f t="shared" si="9"/>
        <v>-1.0</v>
      </c>
      <c r="AB9" s="25" t="str">
        <f t="shared" si="9"/>
        <v>-1.0</v>
      </c>
      <c r="AC9" s="25" t="str">
        <f t="shared" si="9"/>
        <v>-1.0</v>
      </c>
      <c r="AD9" s="27" t="str">
        <f t="shared" si="4"/>
        <v>-5</v>
      </c>
    </row>
    <row r="10">
      <c r="B10" s="18">
        <v>5.0</v>
      </c>
      <c r="C10" s="18" t="s">
        <v>38</v>
      </c>
      <c r="D10" s="19"/>
      <c r="E10" s="20" t="str">
        <f>Personal!G10</f>
        <v>Carlo Giordiano Caballero Morales</v>
      </c>
      <c r="F10" s="20" t="s">
        <v>13</v>
      </c>
      <c r="G10" s="20" t="str">
        <f>Personal!H10</f>
        <v>REDES</v>
      </c>
      <c r="H10" s="21">
        <v>0.2916666666666667</v>
      </c>
      <c r="I10" s="21" t="str">
        <f t="shared" si="5"/>
        <v>16:00</v>
      </c>
      <c r="J10" s="21">
        <v>0.5416666666666666</v>
      </c>
      <c r="K10" s="21" t="str">
        <f>IF(G10="AGENTE",'Semana 1'!$J10+0.042,IF(G10="REDES",'Semana 1'!$J10+0.042,IF(G10="AGENTE RM",'Semana 1'!$J10+0.042,IF(G10="AGENTE APERTURA",'Semana 1'!$J10+0.021,IF(G10="AGENTE CIERRE",'Semana 1'!$J10+0.021," - ")))))</f>
        <v>14:00</v>
      </c>
      <c r="L10" s="21">
        <v>0.3611111111111111</v>
      </c>
      <c r="M10" s="21" t="str">
        <f>IF(G10="AGENTE",'Semana 1'!$L10+0.014,IF(G10="REDES",'Semana 1'!$L10+0.014,IF(G10="AGENTE RM",'Semana 1'!$L10+0.014,IF(G10="AGENTE APERTURA",'Semana 1'!$L10+0.014,IF(G10="AGENTE CIERRE",'Semana 1'!$L10+0.014," - ")))))</f>
        <v>9:00</v>
      </c>
      <c r="N10" s="21">
        <v>0.5972222222222222</v>
      </c>
      <c r="O10" s="21" t="str">
        <f>IF(G10="AGENTE",'Semana 1'!$N10+0.007,IF(G10="REDES",'Semana 1'!$N10+0.007,IF(G10="AGENTE RM",'Semana 1'!$N10+0.007,IF(G10="AGENTE APERTURA",'Semana 1'!$N10+0.007,IF(G10="AGENTE CIERRE",'Semana 1'!$N10+0.007," - ")))))</f>
        <v>14:30</v>
      </c>
      <c r="P10" s="22" t="str">
        <f t="shared" si="2"/>
        <v>8.0</v>
      </c>
      <c r="Q10" s="21">
        <v>0.3541666666666667</v>
      </c>
      <c r="R10" s="21" t="str">
        <f t="shared" si="10"/>
        <v>13:30</v>
      </c>
      <c r="S10" s="28"/>
      <c r="T10" s="28"/>
      <c r="U10" s="21">
        <v>0.375</v>
      </c>
      <c r="V10" s="21" t="str">
        <f t="shared" si="6"/>
        <v>9:30</v>
      </c>
      <c r="W10" s="28"/>
      <c r="X10" s="28"/>
      <c r="Y10" s="22" t="str">
        <f t="shared" si="7"/>
        <v>5.0</v>
      </c>
      <c r="Z10" s="22" t="str">
        <f t="shared" ref="Z10:AC10" si="11">$P10</f>
        <v>8.0</v>
      </c>
      <c r="AA10" s="22" t="str">
        <f t="shared" si="11"/>
        <v>8.0</v>
      </c>
      <c r="AB10" s="22" t="str">
        <f t="shared" si="11"/>
        <v>8.0</v>
      </c>
      <c r="AC10" s="22" t="str">
        <f t="shared" si="11"/>
        <v>8.0</v>
      </c>
      <c r="AD10" s="23" t="str">
        <f t="shared" si="4"/>
        <v>45</v>
      </c>
    </row>
    <row r="11">
      <c r="B11" s="18">
        <v>6.0</v>
      </c>
      <c r="C11" s="18" t="s">
        <v>38</v>
      </c>
      <c r="D11" s="19"/>
      <c r="E11" s="20" t="str">
        <f>Personal!G11</f>
        <v>Ani Rubi Lucero Gonzalez</v>
      </c>
      <c r="F11" s="20" t="s">
        <v>13</v>
      </c>
      <c r="G11" s="20" t="str">
        <f>Personal!H11</f>
        <v>SOPORTE</v>
      </c>
      <c r="H11" s="24"/>
      <c r="I11" s="24" t="str">
        <f t="shared" si="5"/>
        <v> </v>
      </c>
      <c r="J11" s="24"/>
      <c r="K11" s="24" t="str">
        <f>IF(G11="AGENTE",'Semana 1'!$J11+0.042,IF(G11="REDES",'Semana 1'!$J11+0.042,IF(G11="AGENTE RM",'Semana 1'!$J11+0.042,IF(G11="AGENTE APERTURA",'Semana 1'!$J11+0.021,IF(G11="AGENTE CIERRE",'Semana 1'!$J11+0.021," - ")))))</f>
        <v> - </v>
      </c>
      <c r="L11" s="24"/>
      <c r="M11" s="24" t="str">
        <f>IF(G11="AGENTE",'Semana 1'!$L11+0.014,IF(G11="REDES",'Semana 1'!$L11+0.014,IF(G11="AGENTE RM",'Semana 1'!$L11+0.014,IF(G11="AGENTE APERTURA",'Semana 1'!$L11+0.014,IF(G11="AGENTE CIERRE",'Semana 1'!$L11+0.014," - ")))))</f>
        <v> - </v>
      </c>
      <c r="N11" s="24"/>
      <c r="O11" s="24" t="str">
        <f>IF(G11="AGENTE",'Semana 1'!$N11+0.007,IF(G11="REDES",'Semana 1'!$N11+0.007,IF(G11="AGENTE RM",'Semana 1'!$N11+0.007,IF(G11="AGENTE APERTURA",'Semana 1'!$N11+0.007,IF(G11="AGENTE CIERRE",'Semana 1'!$N11+0.007," - ")))))</f>
        <v> - </v>
      </c>
      <c r="P11" s="25" t="str">
        <f t="shared" si="2"/>
        <v>-1.0</v>
      </c>
      <c r="Q11" s="24"/>
      <c r="R11" s="24" t="str">
        <f t="shared" si="10"/>
        <v/>
      </c>
      <c r="S11" s="26"/>
      <c r="T11" s="26"/>
      <c r="U11" s="24"/>
      <c r="V11" s="24" t="s">
        <v>40</v>
      </c>
      <c r="W11" s="26"/>
      <c r="X11" s="26"/>
      <c r="Y11" s="25" t="str">
        <f t="shared" si="7"/>
        <v>0.0</v>
      </c>
      <c r="Z11" s="25" t="str">
        <f t="shared" ref="Z11:AC11" si="12">$P11</f>
        <v>-1.0</v>
      </c>
      <c r="AA11" s="25" t="str">
        <f t="shared" si="12"/>
        <v>-1.0</v>
      </c>
      <c r="AB11" s="25" t="str">
        <f t="shared" si="12"/>
        <v>-1.0</v>
      </c>
      <c r="AC11" s="25" t="str">
        <f t="shared" si="12"/>
        <v>-1.0</v>
      </c>
      <c r="AD11" s="27" t="str">
        <f t="shared" si="4"/>
        <v>-5</v>
      </c>
    </row>
    <row r="12">
      <c r="B12" s="18">
        <v>7.0</v>
      </c>
      <c r="C12" s="18" t="s">
        <v>38</v>
      </c>
      <c r="D12" s="19"/>
      <c r="E12" s="20" t="str">
        <f>Personal!G12</f>
        <v>Hilda Sofia Gonzalez De León</v>
      </c>
      <c r="F12" s="20" t="s">
        <v>13</v>
      </c>
      <c r="G12" s="20" t="str">
        <f>Personal!H12</f>
        <v>REDES</v>
      </c>
      <c r="H12" s="21">
        <v>0.375</v>
      </c>
      <c r="I12" s="21" t="str">
        <f t="shared" si="5"/>
        <v>18:00</v>
      </c>
      <c r="J12" s="21">
        <v>0.5</v>
      </c>
      <c r="K12" s="21" t="str">
        <f>IF(G12="AGENTE",'Semana 1'!$J12+0.042,IF(G12="REDES",'Semana 1'!$J12+0.042,IF(G12="AGENTE RM",'Semana 1'!$J12+0.042,IF(G12="AGENTE APERTURA",'Semana 1'!$J12+0.021,IF(G12="AGENTE CIERRE",'Semana 1'!$J12+0.021," - ")))))</f>
        <v>13:00</v>
      </c>
      <c r="L12" s="21">
        <v>0.4305555555555556</v>
      </c>
      <c r="M12" s="21" t="str">
        <f>IF(G12="AGENTE",'Semana 1'!$L12+0.014,IF(G12="REDES",'Semana 1'!$L12+0.014,IF(G12="AGENTE RM",'Semana 1'!$L12+0.014,IF(G12="AGENTE APERTURA",'Semana 1'!$L12+0.014,IF(G12="AGENTE CIERRE",'Semana 1'!$L12+0.014," - ")))))</f>
        <v>10:40</v>
      </c>
      <c r="N12" s="21">
        <v>0.6527777777777778</v>
      </c>
      <c r="O12" s="21" t="str">
        <f>IF(G12="AGENTE",'Semana 1'!$N12+0.007,IF(G12="REDES",'Semana 1'!$N12+0.007,IF(G12="AGENTE RM",'Semana 1'!$N12+0.007,IF(G12="AGENTE APERTURA",'Semana 1'!$N12+0.007,IF(G12="AGENTE CIERRE",'Semana 1'!$N12+0.007," - ")))))</f>
        <v>15:50</v>
      </c>
      <c r="P12" s="22" t="str">
        <f t="shared" si="2"/>
        <v>8.0</v>
      </c>
      <c r="Q12" s="21">
        <v>0.375</v>
      </c>
      <c r="R12" s="21" t="str">
        <f t="shared" si="10"/>
        <v>14:00</v>
      </c>
      <c r="S12" s="28"/>
      <c r="T12" s="28"/>
      <c r="U12" s="21">
        <v>0.3958333333333333</v>
      </c>
      <c r="V12" s="21" t="str">
        <f t="shared" ref="V12:V13" si="14">IF(U12=0,"",U12+0.021)</f>
        <v>10:00</v>
      </c>
      <c r="W12" s="28"/>
      <c r="X12" s="28"/>
      <c r="Y12" s="22" t="str">
        <f t="shared" si="7"/>
        <v>5.0</v>
      </c>
      <c r="Z12" s="22" t="str">
        <f t="shared" ref="Z12:AC12" si="13">$P12</f>
        <v>8.0</v>
      </c>
      <c r="AA12" s="22" t="str">
        <f t="shared" si="13"/>
        <v>8.0</v>
      </c>
      <c r="AB12" s="22" t="str">
        <f t="shared" si="13"/>
        <v>8.0</v>
      </c>
      <c r="AC12" s="22" t="str">
        <f t="shared" si="13"/>
        <v>8.0</v>
      </c>
      <c r="AD12" s="23" t="str">
        <f t="shared" si="4"/>
        <v>45</v>
      </c>
    </row>
    <row r="13">
      <c r="B13" s="18">
        <v>8.0</v>
      </c>
      <c r="C13" s="18" t="s">
        <v>39</v>
      </c>
      <c r="D13" s="19"/>
      <c r="E13" s="20" t="str">
        <f>Personal!G13</f>
        <v>-</v>
      </c>
      <c r="F13" s="20" t="s">
        <v>13</v>
      </c>
      <c r="G13" s="20" t="str">
        <f>Personal!H13</f>
        <v>-</v>
      </c>
      <c r="H13" s="24"/>
      <c r="I13" s="24" t="str">
        <f t="shared" si="5"/>
        <v> </v>
      </c>
      <c r="J13" s="24"/>
      <c r="K13" s="24" t="str">
        <f>IF(G13="AGENTE",'Semana 1'!$J13+0.042,IF(G13="REDES",'Semana 1'!$J13+0.042,IF(G13="AGENTE RM",'Semana 1'!$J13+0.042,IF(G13="AGENTE APERTURA",'Semana 1'!$J13+0.021,IF(G13="AGENTE CIERRE",'Semana 1'!$J13+0.021," - ")))))</f>
        <v> - </v>
      </c>
      <c r="L13" s="24"/>
      <c r="M13" s="24" t="str">
        <f>IF(G13="AGENTE",'Semana 1'!$L13+0.014,IF(G13="REDES",'Semana 1'!$L13+0.014,IF(G13="AGENTE RM",'Semana 1'!$L13+0.014,IF(G13="AGENTE APERTURA",'Semana 1'!$L13+0.014,IF(G13="AGENTE CIERRE",'Semana 1'!$L13+0.014," - ")))))</f>
        <v> - </v>
      </c>
      <c r="N13" s="24"/>
      <c r="O13" s="24" t="str">
        <f>IF(G13="AGENTE",'Semana 1'!$N13+0.007,IF(G13="REDES",'Semana 1'!$N13+0.007,IF(G13="AGENTE RM",'Semana 1'!$N13+0.007,IF(G13="AGENTE APERTURA",'Semana 1'!$N13+0.007,IF(G13="AGENTE CIERRE",'Semana 1'!$N13+0.007," - ")))))</f>
        <v> - </v>
      </c>
      <c r="P13" s="25" t="str">
        <f t="shared" si="2"/>
        <v>-1.0</v>
      </c>
      <c r="Q13" s="24"/>
      <c r="R13" s="24" t="str">
        <f t="shared" si="10"/>
        <v/>
      </c>
      <c r="S13" s="26"/>
      <c r="T13" s="26"/>
      <c r="U13" s="24"/>
      <c r="V13" s="24" t="str">
        <f t="shared" si="14"/>
        <v/>
      </c>
      <c r="W13" s="26"/>
      <c r="X13" s="26"/>
      <c r="Y13" s="25" t="str">
        <f t="shared" si="7"/>
        <v>0.0</v>
      </c>
      <c r="Z13" s="25" t="str">
        <f t="shared" ref="Z13:AC13" si="15">$P13</f>
        <v>-1.0</v>
      </c>
      <c r="AA13" s="25" t="str">
        <f t="shared" si="15"/>
        <v>-1.0</v>
      </c>
      <c r="AB13" s="25" t="str">
        <f t="shared" si="15"/>
        <v>-1.0</v>
      </c>
      <c r="AC13" s="25" t="str">
        <f t="shared" si="15"/>
        <v>-1.0</v>
      </c>
      <c r="AD13" s="27" t="str">
        <f t="shared" si="4"/>
        <v>-5</v>
      </c>
    </row>
    <row r="14">
      <c r="B14" s="18">
        <v>9.0</v>
      </c>
      <c r="C14" s="18" t="s">
        <v>38</v>
      </c>
      <c r="D14" s="19"/>
      <c r="E14" s="20" t="str">
        <f>Personal!G14</f>
        <v>Jorge Israel Reyes Valencia</v>
      </c>
      <c r="F14" s="20" t="s">
        <v>13</v>
      </c>
      <c r="G14" s="20" t="str">
        <f>Personal!H14</f>
        <v>SOPORTE</v>
      </c>
      <c r="H14" s="21"/>
      <c r="I14" s="21" t="str">
        <f t="shared" si="5"/>
        <v> </v>
      </c>
      <c r="J14" s="21"/>
      <c r="K14" s="21" t="str">
        <f>IF(G14="AGENTE",'Semana 1'!$J14+0.042,IF(G14="REDES",'Semana 1'!$J14+0.042,IF(G14="AGENTE RM",'Semana 1'!$J14+0.042,IF(G14="AGENTE APERTURA",'Semana 1'!$J14+0.021,IF(G14="AGENTE CIERRE",'Semana 1'!$J14+0.021," - ")))))</f>
        <v> - </v>
      </c>
      <c r="L14" s="21"/>
      <c r="M14" s="21" t="str">
        <f>IF(G14="AGENTE",'Semana 1'!$L14+0.014,IF(G14="REDES",'Semana 1'!$L14+0.014,IF(G14="AGENTE RM",'Semana 1'!$L14+0.014,IF(G14="AGENTE APERTURA",'Semana 1'!$L14+0.014,IF(G14="AGENTE CIERRE",'Semana 1'!$L14+0.014," - ")))))</f>
        <v> - </v>
      </c>
      <c r="N14" s="21"/>
      <c r="O14" s="21" t="str">
        <f>IF(G14="AGENTE",'Semana 1'!$N14+0.007,IF(G14="REDES",'Semana 1'!$N14+0.007,IF(G14="AGENTE RM",'Semana 1'!$N14+0.007,IF(G14="AGENTE APERTURA",'Semana 1'!$N14+0.007,IF(G14="AGENTE CIERRE",'Semana 1'!$N14+0.007," - ")))))</f>
        <v> - </v>
      </c>
      <c r="P14" s="22" t="str">
        <f t="shared" si="2"/>
        <v>-1.0</v>
      </c>
      <c r="Q14" s="21"/>
      <c r="R14" s="21" t="str">
        <f t="shared" si="10"/>
        <v/>
      </c>
      <c r="S14" s="21"/>
      <c r="T14" s="21" t="str">
        <f>IF(S14=0,"",S14+0.021)</f>
        <v/>
      </c>
      <c r="U14" s="21"/>
      <c r="V14" s="21" t="str">
        <f>IF(U14=0,"",U14+0.01)</f>
        <v/>
      </c>
      <c r="W14" s="21"/>
      <c r="X14" s="21" t="str">
        <f>IF(W14=0,"",W14+0.01)</f>
        <v/>
      </c>
      <c r="Y14" s="22" t="str">
        <f t="shared" si="7"/>
        <v>0.0</v>
      </c>
      <c r="Z14" s="22" t="str">
        <f t="shared" ref="Z14:AC14" si="16">$P14</f>
        <v>-1.0</v>
      </c>
      <c r="AA14" s="22" t="str">
        <f t="shared" si="16"/>
        <v>-1.0</v>
      </c>
      <c r="AB14" s="22" t="str">
        <f t="shared" si="16"/>
        <v>-1.0</v>
      </c>
      <c r="AC14" s="22" t="str">
        <f t="shared" si="16"/>
        <v>-1.0</v>
      </c>
      <c r="AD14" s="23" t="str">
        <f t="shared" si="4"/>
        <v>-5</v>
      </c>
    </row>
    <row r="15">
      <c r="B15" s="18">
        <v>10.0</v>
      </c>
      <c r="C15" s="18" t="s">
        <v>38</v>
      </c>
      <c r="D15" s="19"/>
      <c r="E15" s="20" t="str">
        <f>Personal!G15</f>
        <v>Marcos Geovanny Coronado Giron</v>
      </c>
      <c r="F15" s="20" t="s">
        <v>13</v>
      </c>
      <c r="G15" s="20" t="str">
        <f>Personal!H15</f>
        <v>SOPORTE</v>
      </c>
      <c r="H15" s="24"/>
      <c r="I15" s="24" t="str">
        <f t="shared" si="5"/>
        <v> </v>
      </c>
      <c r="J15" s="24"/>
      <c r="K15" s="24" t="str">
        <f>IF(G15="AGENTE",'Semana 1'!$J15+0.042,IF(G15="REDES",'Semana 1'!$J15+0.042,IF(G15="AGENTE RM",'Semana 1'!$J15+0.042,IF(G15="AGENTE APERTURA",'Semana 1'!$J15+0.021,IF(G15="AGENTE CIERRE",'Semana 1'!$J15+0.021," - ")))))</f>
        <v> - </v>
      </c>
      <c r="L15" s="24"/>
      <c r="M15" s="24" t="str">
        <f>IF(G15="AGENTE",'Semana 1'!$L15+0.014,IF(G15="REDES",'Semana 1'!$L15+0.014,IF(G15="AGENTE RM",'Semana 1'!$L15+0.014,IF(G15="AGENTE APERTURA",'Semana 1'!$L15+0.014,IF(G15="AGENTE CIERRE",'Semana 1'!$L15+0.014," - ")))))</f>
        <v> - </v>
      </c>
      <c r="N15" s="24"/>
      <c r="O15" s="24" t="str">
        <f>IF(G15="AGENTE",'Semana 1'!$N15+0.007,IF(G15="REDES",'Semana 1'!$N15+0.007,IF(G15="AGENTE RM",'Semana 1'!$N15+0.007,IF(G15="AGENTE APERTURA",'Semana 1'!$N15+0.007,IF(G15="AGENTE CIERRE",'Semana 1'!$N15+0.007," - ")))))</f>
        <v> - </v>
      </c>
      <c r="P15" s="25" t="str">
        <f t="shared" si="2"/>
        <v>-1.0</v>
      </c>
      <c r="Q15" s="24"/>
      <c r="R15" s="24" t="str">
        <f t="shared" si="10"/>
        <v/>
      </c>
      <c r="S15" s="26"/>
      <c r="T15" s="26"/>
      <c r="U15" s="24"/>
      <c r="V15" s="24"/>
      <c r="W15" s="26"/>
      <c r="X15" s="26"/>
      <c r="Y15" s="25" t="str">
        <f t="shared" si="7"/>
        <v>0.0</v>
      </c>
      <c r="Z15" s="25" t="str">
        <f t="shared" ref="Z15:AC15" si="17">$P15</f>
        <v>-1.0</v>
      </c>
      <c r="AA15" s="25" t="str">
        <f t="shared" si="17"/>
        <v>-1.0</v>
      </c>
      <c r="AB15" s="25" t="str">
        <f t="shared" si="17"/>
        <v>-1.0</v>
      </c>
      <c r="AC15" s="25" t="str">
        <f t="shared" si="17"/>
        <v>-1.0</v>
      </c>
      <c r="AD15" s="27" t="str">
        <f t="shared" si="4"/>
        <v>-5</v>
      </c>
    </row>
    <row r="16">
      <c r="B16" s="18">
        <v>11.0</v>
      </c>
      <c r="C16" s="18" t="s">
        <v>38</v>
      </c>
      <c r="D16" s="19"/>
      <c r="E16" s="20" t="str">
        <f>Personal!G16</f>
        <v>Anyely Eunice Florian Florian</v>
      </c>
      <c r="F16" s="20" t="s">
        <v>13</v>
      </c>
      <c r="G16" s="20" t="str">
        <f>Personal!H16</f>
        <v>SOPORTE</v>
      </c>
      <c r="H16" s="21"/>
      <c r="I16" s="21" t="str">
        <f t="shared" si="5"/>
        <v> </v>
      </c>
      <c r="J16" s="21"/>
      <c r="K16" s="21" t="str">
        <f>IF(G16="AGENTE",'Semana 1'!$J16+0.042,IF(G16="REDES",'Semana 1'!$J16+0.042,IF(G16="AGENTE RM",'Semana 1'!$J16+0.042,IF(G16="AGENTE APERTURA",'Semana 1'!$J16+0.021,IF(G16="AGENTE CIERRE",'Semana 1'!$J16+0.021," - ")))))</f>
        <v> - </v>
      </c>
      <c r="L16" s="21"/>
      <c r="M16" s="21" t="str">
        <f>IF(G16="AGENTE",'Semana 1'!$L16+0.014,IF(G16="REDES",'Semana 1'!$L16+0.014,IF(G16="AGENTE RM",'Semana 1'!$L16+0.014,IF(G16="AGENTE APERTURA",'Semana 1'!$L16+0.014,IF(G16="AGENTE CIERRE",'Semana 1'!$L16+0.014," - ")))))</f>
        <v> - </v>
      </c>
      <c r="N16" s="21"/>
      <c r="O16" s="21" t="str">
        <f>IF(G16="AGENTE",'Semana 1'!$N16+0.007,IF(G16="REDES",'Semana 1'!$N16+0.007,IF(G16="AGENTE RM",'Semana 1'!$N16+0.007,IF(G16="AGENTE APERTURA",'Semana 1'!$N16+0.007,IF(G16="AGENTE CIERRE",'Semana 1'!$N16+0.007," - ")))))</f>
        <v> - </v>
      </c>
      <c r="P16" s="22" t="str">
        <f t="shared" si="2"/>
        <v>-1.0</v>
      </c>
      <c r="Q16" s="21"/>
      <c r="R16" s="21" t="str">
        <f t="shared" si="10"/>
        <v/>
      </c>
      <c r="S16" s="28"/>
      <c r="T16" s="28"/>
      <c r="U16" s="21"/>
      <c r="V16" s="21" t="str">
        <f t="shared" ref="V16:V18" si="19">IF(U16=0,"",U16+0.021)</f>
        <v/>
      </c>
      <c r="W16" s="28"/>
      <c r="X16" s="28" t="str">
        <f>IF(W16=0,"",W16+0.021)</f>
        <v/>
      </c>
      <c r="Y16" s="22" t="str">
        <f t="shared" si="7"/>
        <v>0.0</v>
      </c>
      <c r="Z16" s="22" t="str">
        <f t="shared" ref="Z16:AC16" si="18">$P16</f>
        <v>-1.0</v>
      </c>
      <c r="AA16" s="22" t="str">
        <f t="shared" si="18"/>
        <v>-1.0</v>
      </c>
      <c r="AB16" s="22" t="str">
        <f t="shared" si="18"/>
        <v>-1.0</v>
      </c>
      <c r="AC16" s="22" t="str">
        <f t="shared" si="18"/>
        <v>-1.0</v>
      </c>
      <c r="AD16" s="23" t="str">
        <f t="shared" si="4"/>
        <v>-5</v>
      </c>
    </row>
    <row r="17">
      <c r="B17" s="18">
        <v>12.0</v>
      </c>
      <c r="C17" s="18" t="s">
        <v>38</v>
      </c>
      <c r="D17" s="19"/>
      <c r="E17" s="20" t="str">
        <f>Personal!G17</f>
        <v>Jennifer Alicia Boror Rodriguez</v>
      </c>
      <c r="F17" s="20" t="s">
        <v>13</v>
      </c>
      <c r="G17" s="20" t="str">
        <f>Personal!H17</f>
        <v>REDES</v>
      </c>
      <c r="H17" s="24">
        <v>0.2708333333333333</v>
      </c>
      <c r="I17" s="24" t="str">
        <f t="shared" si="5"/>
        <v>15:30</v>
      </c>
      <c r="J17" s="24">
        <v>0.5416666666666666</v>
      </c>
      <c r="K17" s="24" t="str">
        <f>IF(G17="AGENTE",'Semana 1'!$J17+0.042,IF(G17="REDES",'Semana 1'!$J17+0.042,IF(G17="AGENTE RM",'Semana 1'!$J17+0.042,IF(G17="AGENTE APERTURA",'Semana 1'!$J17+0.021,IF(G17="AGENTE CIERRE",'Semana 1'!$J17+0.021," - ")))))</f>
        <v>14:00</v>
      </c>
      <c r="L17" s="24">
        <v>0.34722222222222227</v>
      </c>
      <c r="M17" s="24" t="str">
        <f>IF(G17="AGENTE",'Semana 1'!$L17+0.014,IF(G17="REDES",'Semana 1'!$L17+0.014,IF(G17="AGENTE RM",'Semana 1'!$L17+0.014,IF(G17="AGENTE APERTURA",'Semana 1'!$L17+0.014,IF(G17="AGENTE CIERRE",'Semana 1'!$L17+0.014," - ")))))</f>
        <v>8:40</v>
      </c>
      <c r="N17" s="24">
        <v>0.5902777777777778</v>
      </c>
      <c r="O17" s="24" t="str">
        <f>IF(G17="AGENTE",'Semana 1'!$N17+0.007,IF(G17="REDES",'Semana 1'!$N17+0.007,IF(G17="AGENTE RM",'Semana 1'!$N17+0.007,IF(G17="AGENTE APERTURA",'Semana 1'!$N17+0.007,IF(G17="AGENTE CIERRE",'Semana 1'!$N17+0.007," - ")))))</f>
        <v>14:20</v>
      </c>
      <c r="P17" s="25" t="str">
        <f t="shared" si="2"/>
        <v>8.0</v>
      </c>
      <c r="Q17" s="24">
        <v>0.2708333333333333</v>
      </c>
      <c r="R17" s="24" t="str">
        <f t="shared" si="10"/>
        <v>11:30</v>
      </c>
      <c r="S17" s="26"/>
      <c r="T17" s="26"/>
      <c r="U17" s="24">
        <v>0.3125</v>
      </c>
      <c r="V17" s="24" t="str">
        <f t="shared" si="19"/>
        <v>8:00</v>
      </c>
      <c r="W17" s="26"/>
      <c r="X17" s="26"/>
      <c r="Y17" s="25" t="str">
        <f t="shared" si="7"/>
        <v>5.0</v>
      </c>
      <c r="Z17" s="25" t="str">
        <f t="shared" ref="Z17:AC17" si="20">$P17</f>
        <v>8.0</v>
      </c>
      <c r="AA17" s="25" t="str">
        <f t="shared" si="20"/>
        <v>8.0</v>
      </c>
      <c r="AB17" s="25" t="str">
        <f t="shared" si="20"/>
        <v>8.0</v>
      </c>
      <c r="AC17" s="25" t="str">
        <f t="shared" si="20"/>
        <v>8.0</v>
      </c>
      <c r="AD17" s="27" t="str">
        <f t="shared" si="4"/>
        <v>45</v>
      </c>
    </row>
    <row r="18">
      <c r="B18" s="18">
        <v>13.0</v>
      </c>
      <c r="C18" s="18" t="s">
        <v>39</v>
      </c>
      <c r="D18" s="19"/>
      <c r="E18" s="20" t="str">
        <f>Personal!G18</f>
        <v>-</v>
      </c>
      <c r="F18" s="20" t="s">
        <v>13</v>
      </c>
      <c r="G18" s="20" t="str">
        <f>Personal!H18</f>
        <v>-</v>
      </c>
      <c r="H18" s="21"/>
      <c r="I18" s="21" t="str">
        <f t="shared" si="5"/>
        <v> </v>
      </c>
      <c r="J18" s="21"/>
      <c r="K18" s="21" t="str">
        <f>IF(G18="AGENTE",'Semana 1'!$J18+0.042,IF(G18="REDES",'Semana 1'!$J18+0.042,IF(G18="AGENTE RM",'Semana 1'!$J18+0.042,IF(G18="AGENTE APERTURA",'Semana 1'!$J18+0.021,IF(G18="AGENTE CIERRE",'Semana 1'!$J18+0.021," - ")))))</f>
        <v> - </v>
      </c>
      <c r="L18" s="21"/>
      <c r="M18" s="21" t="str">
        <f>IF(G18="AGENTE",'Semana 1'!$L18+0.014,IF(G18="REDES",'Semana 1'!$L18+0.014,IF(G18="AGENTE RM",'Semana 1'!$L18+0.014,IF(G18="AGENTE APERTURA",'Semana 1'!$L18+0.014,IF(G18="AGENTE CIERRE",'Semana 1'!$L18+0.014," - ")))))</f>
        <v> - </v>
      </c>
      <c r="N18" s="21"/>
      <c r="O18" s="21" t="str">
        <f>IF(G18="AGENTE",'Semana 1'!$N18+0.007,IF(G18="REDES",'Semana 1'!$N18+0.007,IF(G18="AGENTE RM",'Semana 1'!$N18+0.007,IF(G18="AGENTE APERTURA",'Semana 1'!$N18+0.007,IF(G18="AGENTE CIERRE",'Semana 1'!$N18+0.007," - ")))))</f>
        <v> - </v>
      </c>
      <c r="P18" s="22" t="str">
        <f t="shared" si="2"/>
        <v>-1.0</v>
      </c>
      <c r="Q18" s="21"/>
      <c r="R18" s="21" t="str">
        <f t="shared" si="10"/>
        <v/>
      </c>
      <c r="S18" s="21"/>
      <c r="T18" s="21"/>
      <c r="U18" s="21"/>
      <c r="V18" s="21" t="str">
        <f t="shared" si="19"/>
        <v/>
      </c>
      <c r="W18" s="21"/>
      <c r="X18" s="21"/>
      <c r="Y18" s="22" t="str">
        <f t="shared" si="7"/>
        <v>0.0</v>
      </c>
      <c r="Z18" s="22" t="str">
        <f t="shared" ref="Z18:AC18" si="21">$P18</f>
        <v>-1.0</v>
      </c>
      <c r="AA18" s="22" t="str">
        <f t="shared" si="21"/>
        <v>-1.0</v>
      </c>
      <c r="AB18" s="22" t="str">
        <f t="shared" si="21"/>
        <v>-1.0</v>
      </c>
      <c r="AC18" s="22" t="str">
        <f t="shared" si="21"/>
        <v>-1.0</v>
      </c>
      <c r="AD18" s="23" t="str">
        <f t="shared" si="4"/>
        <v>-5</v>
      </c>
    </row>
    <row r="19">
      <c r="B19" s="18">
        <v>14.0</v>
      </c>
      <c r="C19" s="18" t="s">
        <v>38</v>
      </c>
      <c r="D19" s="19"/>
      <c r="E19" s="20" t="str">
        <f>Personal!G19</f>
        <v>Juan José Puluc Chaicoj</v>
      </c>
      <c r="F19" s="20" t="s">
        <v>13</v>
      </c>
      <c r="G19" s="20" t="str">
        <f>Personal!H19</f>
        <v>SOPORTE</v>
      </c>
      <c r="H19" s="24"/>
      <c r="I19" s="24" t="str">
        <f t="shared" si="5"/>
        <v> </v>
      </c>
      <c r="J19" s="24"/>
      <c r="K19" s="24" t="str">
        <f>IF(G19="AGENTE",'Semana 1'!$J19+0.042,IF(G19="REDES",'Semana 1'!$J19+0.042,IF(G19="AGENTE RM",'Semana 1'!$J19+0.042,IF(G19="AGENTE APERTURA",'Semana 1'!$J19+0.021,IF(G19="AGENTE CIERRE",'Semana 1'!$J19+0.021," - ")))))</f>
        <v> - </v>
      </c>
      <c r="L19" s="24"/>
      <c r="M19" s="24" t="str">
        <f>IF(G19="AGENTE",'Semana 1'!$L19+0.014,IF(G19="REDES",'Semana 1'!$L19+0.014,IF(G19="AGENTE RM",'Semana 1'!$L19+0.014,IF(G19="AGENTE APERTURA",'Semana 1'!$L19+0.014,IF(G19="AGENTE CIERRE",'Semana 1'!$L19+0.014," - ")))))</f>
        <v> - </v>
      </c>
      <c r="N19" s="24"/>
      <c r="O19" s="24" t="str">
        <f>IF(G19="AGENTE",'Semana 1'!$N19+0.007,IF(G19="REDES",'Semana 1'!$N19+0.007,IF(G19="AGENTE RM",'Semana 1'!$N19+0.007,IF(G19="AGENTE APERTURA",'Semana 1'!$N19+0.007,IF(G19="AGENTE CIERRE",'Semana 1'!$N19+0.007," - ")))))</f>
        <v> - </v>
      </c>
      <c r="P19" s="25" t="str">
        <f t="shared" si="2"/>
        <v>-1.0</v>
      </c>
      <c r="Q19" s="24"/>
      <c r="R19" s="24" t="str">
        <f t="shared" si="10"/>
        <v/>
      </c>
      <c r="S19" s="26"/>
      <c r="T19" s="26"/>
      <c r="U19" s="24"/>
      <c r="V19" s="24"/>
      <c r="W19" s="26"/>
      <c r="X19" s="26"/>
      <c r="Y19" s="25" t="str">
        <f t="shared" si="7"/>
        <v>0.0</v>
      </c>
      <c r="Z19" s="25" t="str">
        <f t="shared" ref="Z19:AC19" si="22">$P19</f>
        <v>-1.0</v>
      </c>
      <c r="AA19" s="25" t="str">
        <f t="shared" si="22"/>
        <v>-1.0</v>
      </c>
      <c r="AB19" s="25" t="str">
        <f t="shared" si="22"/>
        <v>-1.0</v>
      </c>
      <c r="AC19" s="25" t="str">
        <f t="shared" si="22"/>
        <v>-1.0</v>
      </c>
      <c r="AD19" s="27" t="str">
        <f t="shared" si="4"/>
        <v>-5</v>
      </c>
    </row>
    <row r="20">
      <c r="B20" s="18">
        <v>15.0</v>
      </c>
      <c r="C20" s="18" t="s">
        <v>38</v>
      </c>
      <c r="D20" s="19"/>
      <c r="E20" s="20" t="str">
        <f>Personal!G20</f>
        <v>Lydicen Anabelly Navarijo Padilla</v>
      </c>
      <c r="F20" s="20" t="s">
        <v>13</v>
      </c>
      <c r="G20" s="20" t="str">
        <f>Personal!H20</f>
        <v>AGENTE RM</v>
      </c>
      <c r="H20" s="21">
        <v>0.375</v>
      </c>
      <c r="I20" s="21" t="str">
        <f t="shared" si="5"/>
        <v>18:00</v>
      </c>
      <c r="J20" s="21">
        <v>0.5833333333333334</v>
      </c>
      <c r="K20" s="21" t="str">
        <f>IF(G20="AGENTE",'Semana 1'!$J20+0.042,IF(G20="REDES",'Semana 1'!$J20+0.042,IF(G20="AGENTE RM",'Semana 1'!$J20+0.042,IF(G20="AGENTE APERTURA",'Semana 1'!$J20+0.021,IF(G20="AGENTE CIERRE",'Semana 1'!$J20+0.021," - ")))))</f>
        <v>15:00</v>
      </c>
      <c r="L20" s="21">
        <v>0.3958333333333333</v>
      </c>
      <c r="M20" s="21" t="str">
        <f>IF(G20="AGENTE",'Semana 1'!$L20+0.014,IF(G20="REDES",'Semana 1'!$L20+0.014,IF(G20="AGENTE RM",'Semana 1'!$L20+0.014,IF(G20="AGENTE APERTURA",'Semana 1'!$L20+0.014,IF(G20="AGENTE CIERRE",'Semana 1'!$L20+0.014," - ")))))</f>
        <v>9:50</v>
      </c>
      <c r="N20" s="21">
        <v>0.6666666666666666</v>
      </c>
      <c r="O20" s="21" t="str">
        <f>IF(G20="AGENTE",'Semana 1'!$N20+0.007,IF(G20="REDES",'Semana 1'!$N20+0.007,IF(G20="AGENTE RM",'Semana 1'!$N20+0.007,IF(G20="AGENTE APERTURA",'Semana 1'!$N20+0.007,IF(G20="AGENTE CIERRE",'Semana 1'!$N20+0.007," - ")))))</f>
        <v>16:10</v>
      </c>
      <c r="P20" s="22" t="str">
        <f t="shared" si="2"/>
        <v>8.0</v>
      </c>
      <c r="Q20" s="21">
        <v>0.4166666666666667</v>
      </c>
      <c r="R20" s="21" t="str">
        <f t="shared" si="10"/>
        <v>15:00</v>
      </c>
      <c r="S20" s="28"/>
      <c r="T20" s="28"/>
      <c r="U20" s="21">
        <v>0.4375</v>
      </c>
      <c r="V20" s="21" t="str">
        <f t="shared" ref="V20:V25" si="24">IF(U20=0,"",U20+0.021)</f>
        <v>11:00</v>
      </c>
      <c r="W20" s="28"/>
      <c r="X20" s="28"/>
      <c r="Y20" s="22" t="str">
        <f t="shared" si="7"/>
        <v>5.0</v>
      </c>
      <c r="Z20" s="22" t="str">
        <f t="shared" ref="Z20:AC20" si="23">$P20</f>
        <v>8.0</v>
      </c>
      <c r="AA20" s="22" t="str">
        <f t="shared" si="23"/>
        <v>8.0</v>
      </c>
      <c r="AB20" s="22" t="str">
        <f t="shared" si="23"/>
        <v>8.0</v>
      </c>
      <c r="AC20" s="22" t="str">
        <f t="shared" si="23"/>
        <v>8.0</v>
      </c>
      <c r="AD20" s="23" t="str">
        <f t="shared" si="4"/>
        <v>45</v>
      </c>
    </row>
    <row r="21" ht="15.75" customHeight="1">
      <c r="B21" s="18">
        <v>16.0</v>
      </c>
      <c r="C21" s="18" t="s">
        <v>38</v>
      </c>
      <c r="D21" s="19"/>
      <c r="E21" s="20" t="str">
        <f>Personal!G21</f>
        <v>Cindy Melissa Aroche Ortiz</v>
      </c>
      <c r="F21" s="20" t="s">
        <v>13</v>
      </c>
      <c r="G21" s="20" t="str">
        <f>Personal!H21</f>
        <v>CONTROL</v>
      </c>
      <c r="H21" s="24"/>
      <c r="I21" s="24" t="str">
        <f t="shared" si="5"/>
        <v> </v>
      </c>
      <c r="J21" s="24"/>
      <c r="K21" s="24" t="str">
        <f>IF(G21="AGENTE",'Semana 1'!$J21+0.042,IF(G21="REDES",'Semana 1'!$J21+0.042,IF(G21="AGENTE RM",'Semana 1'!$J21+0.042,IF(G21="AGENTE APERTURA",'Semana 1'!$J21+0.021,IF(G21="AGENTE CIERRE",'Semana 1'!$J21+0.021," - ")))))</f>
        <v> - </v>
      </c>
      <c r="L21" s="24"/>
      <c r="M21" s="24" t="str">
        <f>IF(G21="AGENTE",'Semana 1'!$L21+0.014,IF(G21="REDES",'Semana 1'!$L21+0.014,IF(G21="AGENTE RM",'Semana 1'!$L21+0.014,IF(G21="AGENTE APERTURA",'Semana 1'!$L21+0.014,IF(G21="AGENTE CIERRE",'Semana 1'!$L21+0.014," - ")))))</f>
        <v> - </v>
      </c>
      <c r="N21" s="24"/>
      <c r="O21" s="24" t="str">
        <f>IF(G21="AGENTE",'Semana 1'!$N21+0.007,IF(G21="REDES",'Semana 1'!$N21+0.007,IF(G21="AGENTE RM",'Semana 1'!$N21+0.007,IF(G21="AGENTE APERTURA",'Semana 1'!$N21+0.007,IF(G21="AGENTE CIERRE",'Semana 1'!$N21+0.007," - ")))))</f>
        <v> - </v>
      </c>
      <c r="P21" s="25" t="str">
        <f t="shared" si="2"/>
        <v>-1.0</v>
      </c>
      <c r="Q21" s="24"/>
      <c r="R21" s="24" t="str">
        <f t="shared" si="10"/>
        <v/>
      </c>
      <c r="S21" s="26"/>
      <c r="T21" s="26"/>
      <c r="U21" s="24"/>
      <c r="V21" s="24" t="str">
        <f t="shared" si="24"/>
        <v/>
      </c>
      <c r="W21" s="26"/>
      <c r="X21" s="26"/>
      <c r="Y21" s="25" t="str">
        <f t="shared" si="7"/>
        <v>0.0</v>
      </c>
      <c r="Z21" s="25" t="str">
        <f t="shared" ref="Z21:AC21" si="25">$P21</f>
        <v>-1.0</v>
      </c>
      <c r="AA21" s="25" t="str">
        <f t="shared" si="25"/>
        <v>-1.0</v>
      </c>
      <c r="AB21" s="25" t="str">
        <f t="shared" si="25"/>
        <v>-1.0</v>
      </c>
      <c r="AC21" s="25" t="str">
        <f t="shared" si="25"/>
        <v>-1.0</v>
      </c>
      <c r="AD21" s="27" t="str">
        <f t="shared" si="4"/>
        <v>-5</v>
      </c>
    </row>
    <row r="22" ht="15.75" customHeight="1">
      <c r="B22" s="18">
        <v>17.0</v>
      </c>
      <c r="C22" s="18" t="s">
        <v>38</v>
      </c>
      <c r="D22" s="19"/>
      <c r="E22" s="20" t="str">
        <f>Personal!G22</f>
        <v>Katherin Gabriela Monzon Vivar</v>
      </c>
      <c r="F22" s="20" t="s">
        <v>13</v>
      </c>
      <c r="G22" s="20" t="str">
        <f>Personal!H22</f>
        <v>AGENTE</v>
      </c>
      <c r="H22" s="21">
        <v>0.3333333333333333</v>
      </c>
      <c r="I22" s="21" t="str">
        <f t="shared" si="5"/>
        <v>17:00</v>
      </c>
      <c r="J22" s="21">
        <v>0.5625</v>
      </c>
      <c r="K22" s="21" t="str">
        <f>IF(G22="AGENTE",'Semana 1'!$J22+0.042,IF(G22="REDES",'Semana 1'!$J22+0.042,IF(G22="AGENTE RM",'Semana 1'!$J22+0.042,IF(G22="AGENTE APERTURA",'Semana 1'!$J22+0.021,IF(G22="AGENTE CIERRE",'Semana 1'!$J22+0.021," - ")))))</f>
        <v>14:30</v>
      </c>
      <c r="L22" s="21">
        <v>0.3854166666666667</v>
      </c>
      <c r="M22" s="21" t="str">
        <f>IF(G22="AGENTE",'Semana 1'!$L22+0.014,IF(G22="REDES",'Semana 1'!$L22+0.014,IF(G22="AGENTE RM",'Semana 1'!$L22+0.014,IF(G22="AGENTE APERTURA",'Semana 1'!$L22+0.014,IF(G22="AGENTE CIERRE",'Semana 1'!$L22+0.014," - ")))))</f>
        <v>9:35</v>
      </c>
      <c r="N22" s="21">
        <v>0.6979166666666666</v>
      </c>
      <c r="O22" s="21" t="str">
        <f>IF(G22="AGENTE",'Semana 1'!$N22+0.007,IF(G22="REDES",'Semana 1'!$N22+0.007,IF(G22="AGENTE RM",'Semana 1'!$N22+0.007,IF(G22="AGENTE APERTURA",'Semana 1'!$N22+0.007,IF(G22="AGENTE CIERRE",'Semana 1'!$N22+0.007," - ")))))</f>
        <v>16:55</v>
      </c>
      <c r="P22" s="22" t="str">
        <f t="shared" si="2"/>
        <v>8.0</v>
      </c>
      <c r="Q22" s="21">
        <v>0.3333333333333333</v>
      </c>
      <c r="R22" s="21" t="str">
        <f t="shared" si="10"/>
        <v>13:00</v>
      </c>
      <c r="S22" s="28"/>
      <c r="T22" s="28"/>
      <c r="U22" s="21">
        <v>0.3541666666666667</v>
      </c>
      <c r="V22" s="21" t="str">
        <f t="shared" si="24"/>
        <v>9:00</v>
      </c>
      <c r="W22" s="28"/>
      <c r="X22" s="28"/>
      <c r="Y22" s="22" t="str">
        <f t="shared" si="7"/>
        <v>5.0</v>
      </c>
      <c r="Z22" s="22" t="str">
        <f t="shared" ref="Z22:AC22" si="26">$P22</f>
        <v>8.0</v>
      </c>
      <c r="AA22" s="22" t="str">
        <f t="shared" si="26"/>
        <v>8.0</v>
      </c>
      <c r="AB22" s="22" t="str">
        <f t="shared" si="26"/>
        <v>8.0</v>
      </c>
      <c r="AC22" s="22" t="str">
        <f t="shared" si="26"/>
        <v>8.0</v>
      </c>
      <c r="AD22" s="23" t="str">
        <f t="shared" si="4"/>
        <v>45</v>
      </c>
    </row>
    <row r="23" ht="15.75" customHeight="1">
      <c r="B23" s="18">
        <v>18.0</v>
      </c>
      <c r="C23" s="18" t="s">
        <v>38</v>
      </c>
      <c r="D23" s="19"/>
      <c r="E23" s="20" t="str">
        <f>Personal!G23</f>
        <v>Velvet Esmeralda Quiroz Godinez</v>
      </c>
      <c r="F23" s="20" t="s">
        <v>13</v>
      </c>
      <c r="G23" s="20" t="str">
        <f>Personal!H23</f>
        <v>AGENTE RM</v>
      </c>
      <c r="H23" s="24">
        <v>0.3125</v>
      </c>
      <c r="I23" s="24" t="str">
        <f t="shared" si="5"/>
        <v>16:30</v>
      </c>
      <c r="J23" s="24">
        <v>0.5416666666666666</v>
      </c>
      <c r="K23" s="24" t="str">
        <f>IF(G23="AGENTE",'Semana 1'!$J23+0.042,IF(G23="REDES",'Semana 1'!$J23+0.042,IF(G23="AGENTE RM",'Semana 1'!$J23+0.042,IF(G23="AGENTE APERTURA",'Semana 1'!$J23+0.021,IF(G23="AGENTE CIERRE",'Semana 1'!$J23+0.021," - ")))))</f>
        <v>14:00</v>
      </c>
      <c r="L23" s="24">
        <v>0.34722222222222227</v>
      </c>
      <c r="M23" s="24" t="str">
        <f>IF(G23="AGENTE",'Semana 1'!$L23+0.014,IF(G23="REDES",'Semana 1'!$L23+0.014,IF(G23="AGENTE RM",'Semana 1'!$L23+0.014,IF(G23="AGENTE APERTURA",'Semana 1'!$L23+0.014,IF(G23="AGENTE CIERRE",'Semana 1'!$L23+0.014," - ")))))</f>
        <v>8:40</v>
      </c>
      <c r="N23" s="24">
        <v>0.6041666666666666</v>
      </c>
      <c r="O23" s="24" t="str">
        <f>IF(G23="AGENTE",'Semana 1'!$N23+0.007,IF(G23="REDES",'Semana 1'!$N23+0.007,IF(G23="AGENTE RM",'Semana 1'!$N23+0.007,IF(G23="AGENTE APERTURA",'Semana 1'!$N23+0.007,IF(G23="AGENTE CIERRE",'Semana 1'!$N23+0.007," - ")))))</f>
        <v>14:40</v>
      </c>
      <c r="P23" s="25" t="str">
        <f t="shared" si="2"/>
        <v>8.0</v>
      </c>
      <c r="Q23" s="24">
        <v>0.375</v>
      </c>
      <c r="R23" s="24" t="str">
        <f t="shared" si="10"/>
        <v>14:00</v>
      </c>
      <c r="S23" s="26"/>
      <c r="T23" s="26" t="str">
        <f>IF(S23=0,"",S23+0.041)</f>
        <v/>
      </c>
      <c r="U23" s="24">
        <v>0.4166666666666667</v>
      </c>
      <c r="V23" s="24" t="str">
        <f t="shared" si="24"/>
        <v>10:30</v>
      </c>
      <c r="W23" s="26"/>
      <c r="X23" s="26" t="str">
        <f>IF(W23=0,"",W23+0.01)</f>
        <v/>
      </c>
      <c r="Y23" s="25" t="str">
        <f t="shared" si="7"/>
        <v>5.0</v>
      </c>
      <c r="Z23" s="25" t="str">
        <f t="shared" ref="Z23:AC23" si="27">$P23</f>
        <v>8.0</v>
      </c>
      <c r="AA23" s="25" t="str">
        <f t="shared" si="27"/>
        <v>8.0</v>
      </c>
      <c r="AB23" s="25" t="str">
        <f t="shared" si="27"/>
        <v>8.0</v>
      </c>
      <c r="AC23" s="25" t="str">
        <f t="shared" si="27"/>
        <v>8.0</v>
      </c>
      <c r="AD23" s="27" t="str">
        <f t="shared" si="4"/>
        <v>45</v>
      </c>
    </row>
    <row r="24" ht="15.75" customHeight="1">
      <c r="B24" s="18">
        <v>19.0</v>
      </c>
      <c r="C24" s="18" t="s">
        <v>38</v>
      </c>
      <c r="D24" s="19"/>
      <c r="E24" s="20" t="str">
        <f>Personal!G24</f>
        <v>Marcela Alessandra López Melgar</v>
      </c>
      <c r="F24" s="20" t="s">
        <v>13</v>
      </c>
      <c r="G24" s="20" t="str">
        <f>Personal!H24</f>
        <v>REDES</v>
      </c>
      <c r="H24" s="21">
        <v>0.2708333333333333</v>
      </c>
      <c r="I24" s="21" t="str">
        <f t="shared" si="5"/>
        <v>15:30</v>
      </c>
      <c r="J24" s="21">
        <v>0.5416666666666666</v>
      </c>
      <c r="K24" s="21" t="str">
        <f>IF(G24="AGENTE",'Semana 1'!$J24+0.042,IF(G24="REDES",'Semana 1'!$J24+0.042,IF(G24="AGENTE RM",'Semana 1'!$J24+0.042,IF(G24="AGENTE APERTURA",'Semana 1'!$J24+0.021,IF(G24="AGENTE CIERRE",'Semana 1'!$J24+0.021," - ")))))</f>
        <v>14:00</v>
      </c>
      <c r="L24" s="21">
        <v>0.3333333333333333</v>
      </c>
      <c r="M24" s="21" t="str">
        <f>IF(G24="AGENTE",'Semana 1'!$L24+0.014,IF(G24="REDES",'Semana 1'!$L24+0.014,IF(G24="AGENTE RM",'Semana 1'!$L24+0.014,IF(G24="AGENTE APERTURA",'Semana 1'!$L24+0.014,IF(G24="AGENTE CIERRE",'Semana 1'!$L24+0.014," - ")))))</f>
        <v>8:20</v>
      </c>
      <c r="N24" s="21">
        <v>0.5833333333333334</v>
      </c>
      <c r="O24" s="21" t="str">
        <f>IF(G24="AGENTE",'Semana 1'!$N24+0.007,IF(G24="REDES",'Semana 1'!$N24+0.007,IF(G24="AGENTE RM",'Semana 1'!$N24+0.007,IF(G24="AGENTE APERTURA",'Semana 1'!$N24+0.007,IF(G24="AGENTE CIERRE",'Semana 1'!$N24+0.007," - ")))))</f>
        <v>14:10</v>
      </c>
      <c r="P24" s="22" t="str">
        <f t="shared" si="2"/>
        <v>8.0</v>
      </c>
      <c r="Q24" s="21">
        <v>0.2708333333333333</v>
      </c>
      <c r="R24" s="21" t="str">
        <f t="shared" si="10"/>
        <v>11:30</v>
      </c>
      <c r="S24" s="21"/>
      <c r="T24" s="21"/>
      <c r="U24" s="21">
        <v>0.3125</v>
      </c>
      <c r="V24" s="21" t="str">
        <f t="shared" si="24"/>
        <v>8:00</v>
      </c>
      <c r="W24" s="21"/>
      <c r="X24" s="21"/>
      <c r="Y24" s="22" t="str">
        <f t="shared" si="7"/>
        <v>5.0</v>
      </c>
      <c r="Z24" s="22" t="str">
        <f t="shared" ref="Z24:AC24" si="28">$P24</f>
        <v>8.0</v>
      </c>
      <c r="AA24" s="22" t="str">
        <f t="shared" si="28"/>
        <v>8.0</v>
      </c>
      <c r="AB24" s="22" t="str">
        <f t="shared" si="28"/>
        <v>8.0</v>
      </c>
      <c r="AC24" s="22" t="str">
        <f t="shared" si="28"/>
        <v>8.0</v>
      </c>
      <c r="AD24" s="23" t="str">
        <f t="shared" si="4"/>
        <v>45</v>
      </c>
    </row>
    <row r="25" ht="15.75" customHeight="1">
      <c r="B25" s="18">
        <v>20.0</v>
      </c>
      <c r="C25" s="18" t="s">
        <v>38</v>
      </c>
      <c r="D25" s="19"/>
      <c r="E25" s="20" t="str">
        <f>Personal!G25</f>
        <v>Ana Marilú González de la Cruz</v>
      </c>
      <c r="F25" s="20" t="s">
        <v>13</v>
      </c>
      <c r="G25" s="20" t="str">
        <f>Personal!H25</f>
        <v>SOPORTE</v>
      </c>
      <c r="H25" s="24"/>
      <c r="I25" s="24" t="str">
        <f t="shared" si="5"/>
        <v> </v>
      </c>
      <c r="J25" s="24"/>
      <c r="K25" s="24" t="str">
        <f>IF(G25="AGENTE",'Semana 1'!$J25+0.042,IF(G25="REDES",'Semana 1'!$J25+0.042,IF(G25="AGENTE RM",'Semana 1'!$J25+0.042,IF(G25="AGENTE APERTURA",'Semana 1'!$J25+0.021,IF(G25="AGENTE CIERRE",'Semana 1'!$J25+0.021," - ")))))</f>
        <v> - </v>
      </c>
      <c r="L25" s="24"/>
      <c r="M25" s="24" t="str">
        <f>IF(G25="AGENTE",'Semana 1'!$L25+0.014,IF(G25="REDES",'Semana 1'!$L25+0.014,IF(G25="AGENTE RM",'Semana 1'!$L25+0.014,IF(G25="AGENTE APERTURA",'Semana 1'!$L25+0.014,IF(G25="AGENTE CIERRE",'Semana 1'!$L25+0.014," - ")))))</f>
        <v> - </v>
      </c>
      <c r="N25" s="24"/>
      <c r="O25" s="24" t="str">
        <f>IF(G25="AGENTE",'Semana 1'!$N25+0.007,IF(G25="REDES",'Semana 1'!$N25+0.007,IF(G25="AGENTE RM",'Semana 1'!$N25+0.007,IF(G25="AGENTE APERTURA",'Semana 1'!$N25+0.007,IF(G25="AGENTE CIERRE",'Semana 1'!$N25+0.007," - ")))))</f>
        <v> - </v>
      </c>
      <c r="P25" s="25" t="str">
        <f t="shared" si="2"/>
        <v>-1.0</v>
      </c>
      <c r="Q25" s="24"/>
      <c r="R25" s="24" t="str">
        <f t="shared" si="10"/>
        <v/>
      </c>
      <c r="S25" s="26"/>
      <c r="T25" s="26"/>
      <c r="U25" s="24"/>
      <c r="V25" s="24" t="str">
        <f t="shared" si="24"/>
        <v/>
      </c>
      <c r="W25" s="26"/>
      <c r="X25" s="26"/>
      <c r="Y25" s="25" t="str">
        <f t="shared" si="7"/>
        <v>0.0</v>
      </c>
      <c r="Z25" s="25" t="str">
        <f t="shared" ref="Z25:AC25" si="29">$P25</f>
        <v>-1.0</v>
      </c>
      <c r="AA25" s="25" t="str">
        <f t="shared" si="29"/>
        <v>-1.0</v>
      </c>
      <c r="AB25" s="25" t="str">
        <f t="shared" si="29"/>
        <v>-1.0</v>
      </c>
      <c r="AC25" s="25" t="str">
        <f t="shared" si="29"/>
        <v>-1.0</v>
      </c>
      <c r="AD25" s="27" t="str">
        <f t="shared" si="4"/>
        <v>-5</v>
      </c>
    </row>
    <row r="26" ht="15.75" customHeight="1">
      <c r="B26" s="18">
        <v>21.0</v>
      </c>
      <c r="C26" s="18" t="s">
        <v>38</v>
      </c>
      <c r="D26" s="19"/>
      <c r="E26" s="20" t="str">
        <f>Personal!G26</f>
        <v>Ingrid Rebeca Santizo Lopez</v>
      </c>
      <c r="F26" s="20" t="s">
        <v>13</v>
      </c>
      <c r="G26" s="20" t="str">
        <f>Personal!H26</f>
        <v>AGENTE APERTURA</v>
      </c>
      <c r="H26" s="21">
        <v>0.0</v>
      </c>
      <c r="I26" s="21">
        <v>0.2916666666666667</v>
      </c>
      <c r="J26" s="21">
        <v>0.125</v>
      </c>
      <c r="K26" s="21" t="str">
        <f>IF(G26="AGENTE",'Semana 1'!$J26+0.042,IF(G26="REDES",'Semana 1'!$J26+0.042,IF(G26="AGENTE RM",'Semana 1'!$J26+0.042,IF(G26="AGENTE APERTURA",'Semana 1'!$J26+0.021,IF(G26="AGENTE CIERRE",'Semana 1'!$J26+0.021," - ")))))</f>
        <v>3:30</v>
      </c>
      <c r="L26" s="21">
        <v>0.14583333333333334</v>
      </c>
      <c r="M26" s="21" t="str">
        <f>IF(G26="AGENTE",'Semana 1'!$L26+0.014,IF(G26="REDES",'Semana 1'!$L26+0.014,IF(G26="AGENTE RM",'Semana 1'!$L26+0.014,IF(G26="AGENTE APERTURA",'Semana 1'!$L26+0.014,IF(G26="AGENTE CIERRE",'Semana 1'!$L26+0.014," - ")))))</f>
        <v>3:50</v>
      </c>
      <c r="N26" s="21">
        <v>0.15972222222222224</v>
      </c>
      <c r="O26" s="21" t="str">
        <f>IF(G26="AGENTE",'Semana 1'!$N26+0.007,IF(G26="REDES",'Semana 1'!$N26+0.007,IF(G26="AGENTE RM",'Semana 1'!$N26+0.007,IF(G26="AGENTE APERTURA",'Semana 1'!$N26+0.007,IF(G26="AGENTE CIERRE",'Semana 1'!$N26+0.007," - ")))))</f>
        <v>4:00</v>
      </c>
      <c r="P26" s="22" t="str">
        <f t="shared" si="2"/>
        <v>6.0</v>
      </c>
      <c r="Q26" s="21">
        <v>0.0</v>
      </c>
      <c r="R26" s="21">
        <v>0.2916666666666667</v>
      </c>
      <c r="S26" s="21">
        <v>0.125</v>
      </c>
      <c r="T26" s="21" t="str">
        <f>IF(G26="AGENTE",'Semana 1'!$S26+0.042,IF(G26="REDES",'Semana 1'!$S26+0.042,IF(G26="AGENTE RM",'Semana 1'!$S26+0.042,IF(G26="AGENTE APERTURA",'Semana 1'!$S26+0.021,IF(G26="AGENTE CIERRE",'Semana 1'!$S26+0.021," - ")))))</f>
        <v>3:30</v>
      </c>
      <c r="U26" s="21">
        <v>0.14583333333333334</v>
      </c>
      <c r="V26" s="21" t="str">
        <f>IF(G26="AGENTE",'Semana 1'!$U26+0.014,IF(G26="REDES",'Semana 1'!$U26+0.014,IF(G26="AGENTE RM",'Semana 1'!$U26+0.014,IF(G26="AGENTE APERTURA",'Semana 1'!$U26+0.014,IF(G26="AGENTE CIERRE",'Semana 1'!$U26+0.014," - ")))))</f>
        <v>3:50</v>
      </c>
      <c r="W26" s="21">
        <v>0.15972222222222224</v>
      </c>
      <c r="X26" s="21" t="str">
        <f>IF(G26="AGENTE",'Semana 1'!$W26+0.007,IF(G26="REDES",'Semana 1'!$W26+0.007,IF(G26="AGENTE RM",'Semana 1'!$W26+0.007,IF(G26="AGENTE APERTURA",'Semana 1'!$W26+0.007,IF(G26="AGENTE CIERRE",'Semana 1'!$W26+0.007," - ")))))</f>
        <v>4:00</v>
      </c>
      <c r="Y26" s="22" t="str">
        <f>(IFERROR(R26-Q26,0)*24)-1</f>
        <v>6.0</v>
      </c>
      <c r="Z26" s="22" t="str">
        <f t="shared" ref="Z26:AC26" si="30">$P26</f>
        <v>6.0</v>
      </c>
      <c r="AA26" s="22" t="str">
        <f t="shared" si="30"/>
        <v>6.0</v>
      </c>
      <c r="AB26" s="22" t="str">
        <f t="shared" si="30"/>
        <v>6.0</v>
      </c>
      <c r="AC26" s="22" t="str">
        <f t="shared" si="30"/>
        <v>6.0</v>
      </c>
      <c r="AD26" s="23" t="str">
        <f t="shared" si="4"/>
        <v>36</v>
      </c>
    </row>
    <row r="27" ht="15.75" customHeight="1">
      <c r="B27" s="18">
        <v>22.0</v>
      </c>
      <c r="C27" s="18" t="s">
        <v>39</v>
      </c>
      <c r="D27" s="19"/>
      <c r="E27" s="20" t="str">
        <f>Personal!G27</f>
        <v>-</v>
      </c>
      <c r="F27" s="20" t="s">
        <v>13</v>
      </c>
      <c r="G27" s="20" t="str">
        <f>Personal!H27</f>
        <v>-</v>
      </c>
      <c r="H27" s="24"/>
      <c r="I27" s="24" t="str">
        <f>IF(H27=0," ",IF(Q27=0,(H27+0.417),(H27+0.292)))</f>
        <v> </v>
      </c>
      <c r="J27" s="24"/>
      <c r="K27" s="24" t="str">
        <f>IF(G27="AGENTE",'Semana 1'!$J27+0.042,IF(G27="REDES",'Semana 1'!$J27+0.042,IF(G27="AGENTE RM",'Semana 1'!$J27+0.042,IF(G27="AGENTE APERTURA",'Semana 1'!$J27+0.021,IF(G27="AGENTE CIERRE",'Semana 1'!$J27+0.021," - ")))))</f>
        <v> - </v>
      </c>
      <c r="L27" s="24"/>
      <c r="M27" s="24" t="str">
        <f>IF(G27="AGENTE",'Semana 1'!$L27+0.014,IF(G27="REDES",'Semana 1'!$L27+0.014,IF(G27="AGENTE RM",'Semana 1'!$L27+0.014,IF(G27="AGENTE APERTURA",'Semana 1'!$L27+0.014,IF(G27="AGENTE CIERRE",'Semana 1'!$L27+0.014," - ")))))</f>
        <v> - </v>
      </c>
      <c r="N27" s="24"/>
      <c r="O27" s="24" t="str">
        <f>IF(G27="AGENTE",'Semana 1'!$N27+0.007,IF(G27="REDES",'Semana 1'!$N27+0.007,IF(G27="AGENTE RM",'Semana 1'!$N27+0.007,IF(G27="AGENTE APERTURA",'Semana 1'!$N27+0.007,IF(G27="AGENTE CIERRE",'Semana 1'!$N27+0.007," - ")))))</f>
        <v> - </v>
      </c>
      <c r="P27" s="25" t="str">
        <f t="shared" si="2"/>
        <v>-1.0</v>
      </c>
      <c r="Q27" s="24"/>
      <c r="R27" s="24" t="str">
        <f>IF(Q27=0," ",IF(Z27=0,(Q27+0.417),(Q27+0.292)))</f>
        <v> </v>
      </c>
      <c r="S27" s="26"/>
      <c r="T27" s="26" t="str">
        <f t="shared" ref="T27:T28" si="32">IF(S27=0,"",S27+0.041)</f>
        <v/>
      </c>
      <c r="U27" s="24"/>
      <c r="V27" s="24" t="str">
        <f t="shared" ref="V27:V28" si="33">IF(U27=0,"",U27+0.01)</f>
        <v/>
      </c>
      <c r="W27" s="26"/>
      <c r="X27" s="26" t="str">
        <f t="shared" ref="X27:X28" si="34">IF(W27=0,"",W27+0.01)</f>
        <v/>
      </c>
      <c r="Y27" s="25" t="str">
        <f t="shared" ref="Y27:Y53" si="35">(IFERROR(R27-Q27,0)*24)</f>
        <v>0.0</v>
      </c>
      <c r="Z27" s="25" t="str">
        <f t="shared" ref="Z27:AC27" si="31">$P27</f>
        <v>-1.0</v>
      </c>
      <c r="AA27" s="25" t="str">
        <f t="shared" si="31"/>
        <v>-1.0</v>
      </c>
      <c r="AB27" s="25" t="str">
        <f t="shared" si="31"/>
        <v>-1.0</v>
      </c>
      <c r="AC27" s="25" t="str">
        <f t="shared" si="31"/>
        <v>-1.0</v>
      </c>
      <c r="AD27" s="27" t="str">
        <f t="shared" si="4"/>
        <v>-5</v>
      </c>
    </row>
    <row r="28" ht="15.75" customHeight="1">
      <c r="B28" s="18">
        <v>23.0</v>
      </c>
      <c r="C28" s="18" t="s">
        <v>38</v>
      </c>
      <c r="D28" s="19"/>
      <c r="E28" s="20" t="str">
        <f>Personal!G28</f>
        <v>Byron Abdiel Santos Mejia</v>
      </c>
      <c r="F28" s="20" t="s">
        <v>13</v>
      </c>
      <c r="G28" s="20" t="str">
        <f>Personal!H28</f>
        <v>AGENTE</v>
      </c>
      <c r="H28" s="21">
        <v>0.375</v>
      </c>
      <c r="I28" s="21" t="str">
        <f t="shared" ref="I28:I32" si="37">IF(H28=0," ",IF(Q28=0,(H28+0.417),(H28+0.3756)))</f>
        <v>18:00</v>
      </c>
      <c r="J28" s="21">
        <v>0.625</v>
      </c>
      <c r="K28" s="21" t="str">
        <f>IF(G28="AGENTE",'Semana 1'!$J28+0.042,IF(G28="REDES",'Semana 1'!$J28+0.042,IF(G28="AGENTE RM",'Semana 1'!$J28+0.042,IF(G28="AGENTE APERTURA",'Semana 1'!$J28+0.021,IF(G28="AGENTE CIERRE",'Semana 1'!$J28+0.021," - ")))))</f>
        <v>16:00</v>
      </c>
      <c r="L28" s="21">
        <v>0.2916666666666667</v>
      </c>
      <c r="M28" s="21" t="str">
        <f>IF(G28="AGENTE",'Semana 1'!$L28+0.014,IF(G28="REDES",'Semana 1'!$L28+0.014,IF(G28="AGENTE RM",'Semana 1'!$L28+0.014,IF(G28="AGENTE APERTURA",'Semana 1'!$L28+0.014,IF(G28="AGENTE CIERRE",'Semana 1'!$L28+0.014," - ")))))</f>
        <v>7:20</v>
      </c>
      <c r="N28" s="21">
        <v>0.71875</v>
      </c>
      <c r="O28" s="21" t="str">
        <f>IF(G28="AGENTE",'Semana 1'!$N28+0.007,IF(G28="REDES",'Semana 1'!$N28+0.007,IF(G28="AGENTE RM",'Semana 1'!$N28+0.007,IF(G28="AGENTE APERTURA",'Semana 1'!$N28+0.007,IF(G28="AGENTE CIERRE",'Semana 1'!$N28+0.007," - ")))))</f>
        <v>17:25</v>
      </c>
      <c r="P28" s="22" t="str">
        <f t="shared" si="2"/>
        <v>8.0</v>
      </c>
      <c r="Q28" s="21">
        <v>0.375</v>
      </c>
      <c r="R28" s="21" t="str">
        <f t="shared" ref="R28:R32" si="38">IF(Q28=0,"",Q28+0.209)</f>
        <v>14:00</v>
      </c>
      <c r="S28" s="21"/>
      <c r="T28" s="21" t="str">
        <f t="shared" si="32"/>
        <v/>
      </c>
      <c r="U28" s="21">
        <v>0.3770833333333334</v>
      </c>
      <c r="V28" s="21" t="str">
        <f t="shared" si="33"/>
        <v>9:17</v>
      </c>
      <c r="W28" s="21"/>
      <c r="X28" s="21" t="str">
        <f t="shared" si="34"/>
        <v/>
      </c>
      <c r="Y28" s="22" t="str">
        <f t="shared" si="35"/>
        <v>5.0</v>
      </c>
      <c r="Z28" s="22" t="str">
        <f t="shared" ref="Z28:AC28" si="36">$P28</f>
        <v>8.0</v>
      </c>
      <c r="AA28" s="22" t="str">
        <f t="shared" si="36"/>
        <v>8.0</v>
      </c>
      <c r="AB28" s="22" t="str">
        <f t="shared" si="36"/>
        <v>8.0</v>
      </c>
      <c r="AC28" s="22" t="str">
        <f t="shared" si="36"/>
        <v>8.0</v>
      </c>
      <c r="AD28" s="23" t="str">
        <f t="shared" si="4"/>
        <v>45</v>
      </c>
    </row>
    <row r="29" ht="15.75" customHeight="1">
      <c r="B29" s="18">
        <v>24.0</v>
      </c>
      <c r="C29" s="18" t="s">
        <v>38</v>
      </c>
      <c r="D29" s="19"/>
      <c r="E29" s="20" t="str">
        <f>Personal!G29</f>
        <v>Karen Lisbeth Vega Ramirez</v>
      </c>
      <c r="F29" s="20" t="s">
        <v>13</v>
      </c>
      <c r="G29" s="20" t="str">
        <f>Personal!H29</f>
        <v>REDES</v>
      </c>
      <c r="H29" s="24">
        <v>0.375</v>
      </c>
      <c r="I29" s="24" t="str">
        <f t="shared" si="37"/>
        <v>18:00</v>
      </c>
      <c r="J29" s="24">
        <v>0.5</v>
      </c>
      <c r="K29" s="24" t="str">
        <f>IF(G29="AGENTE",'Semana 1'!$J29+0.042,IF(G29="REDES",'Semana 1'!$J29+0.042,IF(G29="AGENTE RM",'Semana 1'!$J29+0.042,IF(G29="AGENTE APERTURA",'Semana 1'!$J29+0.021,IF(G29="AGENTE CIERRE",'Semana 1'!$J29+0.021," - ")))))</f>
        <v>13:00</v>
      </c>
      <c r="L29" s="24">
        <v>0.4583333333333333</v>
      </c>
      <c r="M29" s="24" t="str">
        <f>IF(G29="AGENTE",'Semana 1'!$L29+0.014,IF(G29="REDES",'Semana 1'!$L29+0.014,IF(G29="AGENTE RM",'Semana 1'!$L29+0.014,IF(G29="AGENTE APERTURA",'Semana 1'!$L29+0.014,IF(G29="AGENTE CIERRE",'Semana 1'!$L29+0.014," - ")))))</f>
        <v>11:20</v>
      </c>
      <c r="N29" s="24">
        <v>0.6597222222222222</v>
      </c>
      <c r="O29" s="24" t="str">
        <f>IF(G29="AGENTE",'Semana 1'!$N29+0.007,IF(G29="REDES",'Semana 1'!$N29+0.007,IF(G29="AGENTE RM",'Semana 1'!$N29+0.007,IF(G29="AGENTE APERTURA",'Semana 1'!$N29+0.007,IF(G29="AGENTE CIERRE",'Semana 1'!$N29+0.007," - ")))))</f>
        <v>16:00</v>
      </c>
      <c r="P29" s="25" t="str">
        <f t="shared" si="2"/>
        <v>8.0</v>
      </c>
      <c r="Q29" s="24">
        <v>0.2708333333333333</v>
      </c>
      <c r="R29" s="24" t="str">
        <f t="shared" si="38"/>
        <v>11:30</v>
      </c>
      <c r="S29" s="26"/>
      <c r="T29" s="26"/>
      <c r="U29" s="24">
        <v>0.3333333333333333</v>
      </c>
      <c r="V29" s="24" t="str">
        <f t="shared" ref="V29:V32" si="40">IF(U29=0,"",U29+0.021)</f>
        <v>8:30</v>
      </c>
      <c r="W29" s="26"/>
      <c r="X29" s="26"/>
      <c r="Y29" s="25" t="str">
        <f t="shared" si="35"/>
        <v>5.0</v>
      </c>
      <c r="Z29" s="25" t="str">
        <f t="shared" ref="Z29:AC29" si="39">$P29</f>
        <v>8.0</v>
      </c>
      <c r="AA29" s="25" t="str">
        <f t="shared" si="39"/>
        <v>8.0</v>
      </c>
      <c r="AB29" s="25" t="str">
        <f t="shared" si="39"/>
        <v>8.0</v>
      </c>
      <c r="AC29" s="25" t="str">
        <f t="shared" si="39"/>
        <v>8.0</v>
      </c>
      <c r="AD29" s="27" t="str">
        <f t="shared" si="4"/>
        <v>45</v>
      </c>
    </row>
    <row r="30" ht="15.75" customHeight="1">
      <c r="B30" s="18">
        <v>25.0</v>
      </c>
      <c r="C30" s="18" t="s">
        <v>38</v>
      </c>
      <c r="D30" s="19"/>
      <c r="E30" s="20" t="str">
        <f>Personal!G30</f>
        <v>Osiris Azucena Leiva Leon</v>
      </c>
      <c r="F30" s="20" t="s">
        <v>13</v>
      </c>
      <c r="G30" s="20" t="str">
        <f>Personal!H30</f>
        <v>AGENTE</v>
      </c>
      <c r="H30" s="21">
        <v>0.2916666666666667</v>
      </c>
      <c r="I30" s="21" t="str">
        <f t="shared" si="37"/>
        <v>16:00</v>
      </c>
      <c r="J30" s="21">
        <v>0.5</v>
      </c>
      <c r="K30" s="21" t="str">
        <f>IF(G30="AGENTE",'Semana 1'!$J30+0.042,IF(G30="REDES",'Semana 1'!$J30+0.042,IF(G30="AGENTE RM",'Semana 1'!$J30+0.042,IF(G30="AGENTE APERTURA",'Semana 1'!$J30+0.021,IF(G30="AGENTE CIERRE",'Semana 1'!$J30+0.021," - ")))))</f>
        <v>13:00</v>
      </c>
      <c r="L30" s="21">
        <v>0.3541666666666667</v>
      </c>
      <c r="M30" s="21" t="str">
        <f>IF(G30="AGENTE",'Semana 1'!$L30+0.014,IF(G30="REDES",'Semana 1'!$L30+0.014,IF(G30="AGENTE RM",'Semana 1'!$L30+0.014,IF(G30="AGENTE APERTURA",'Semana 1'!$L30+0.014,IF(G30="AGENTE CIERRE",'Semana 1'!$L30+0.014," - ")))))</f>
        <v>8:50</v>
      </c>
      <c r="N30" s="21">
        <v>0.65625</v>
      </c>
      <c r="O30" s="21" t="str">
        <f>IF(G30="AGENTE",'Semana 1'!$N30+0.007,IF(G30="REDES",'Semana 1'!$N30+0.007,IF(G30="AGENTE RM",'Semana 1'!$N30+0.007,IF(G30="AGENTE APERTURA",'Semana 1'!$N30+0.007,IF(G30="AGENTE CIERRE",'Semana 1'!$N30+0.007," - ")))))</f>
        <v>15:55</v>
      </c>
      <c r="P30" s="22" t="str">
        <f t="shared" si="2"/>
        <v>8.0</v>
      </c>
      <c r="Q30" s="21">
        <v>0.4166666666666667</v>
      </c>
      <c r="R30" s="21" t="str">
        <f t="shared" si="38"/>
        <v>15:00</v>
      </c>
      <c r="S30" s="28"/>
      <c r="T30" s="28"/>
      <c r="U30" s="21">
        <v>0.4583333333333333</v>
      </c>
      <c r="V30" s="21" t="str">
        <f t="shared" si="40"/>
        <v>11:30</v>
      </c>
      <c r="W30" s="28"/>
      <c r="X30" s="28"/>
      <c r="Y30" s="22" t="str">
        <f t="shared" si="35"/>
        <v>5.0</v>
      </c>
      <c r="Z30" s="22" t="str">
        <f t="shared" ref="Z30:AC30" si="41">$P30</f>
        <v>8.0</v>
      </c>
      <c r="AA30" s="22" t="str">
        <f t="shared" si="41"/>
        <v>8.0</v>
      </c>
      <c r="AB30" s="22" t="str">
        <f t="shared" si="41"/>
        <v>8.0</v>
      </c>
      <c r="AC30" s="22" t="str">
        <f t="shared" si="41"/>
        <v>8.0</v>
      </c>
      <c r="AD30" s="23" t="str">
        <f t="shared" si="4"/>
        <v>45</v>
      </c>
    </row>
    <row r="31" ht="15.75" customHeight="1">
      <c r="B31" s="18">
        <v>26.0</v>
      </c>
      <c r="C31" s="18" t="s">
        <v>38</v>
      </c>
      <c r="D31" s="19"/>
      <c r="E31" s="20" t="str">
        <f>Personal!G31</f>
        <v>Gabriela Abigail Guzman Diaz</v>
      </c>
      <c r="F31" s="20" t="s">
        <v>13</v>
      </c>
      <c r="G31" s="20" t="str">
        <f>Personal!H31</f>
        <v>SOPORTE</v>
      </c>
      <c r="H31" s="24"/>
      <c r="I31" s="24" t="str">
        <f t="shared" si="37"/>
        <v> </v>
      </c>
      <c r="J31" s="24"/>
      <c r="K31" s="24" t="str">
        <f>IF(G31="AGENTE",'Semana 1'!$J31+0.042,IF(G31="REDES",'Semana 1'!$J31+0.042,IF(G31="AGENTE RM",'Semana 1'!$J31+0.042,IF(G31="AGENTE APERTURA",'Semana 1'!$J31+0.021,IF(G31="AGENTE CIERRE",'Semana 1'!$J31+0.021," - ")))))</f>
        <v> - </v>
      </c>
      <c r="L31" s="24"/>
      <c r="M31" s="24" t="str">
        <f>IF(G31="AGENTE",'Semana 1'!$L31+0.014,IF(G31="REDES",'Semana 1'!$L31+0.014,IF(G31="AGENTE RM",'Semana 1'!$L31+0.014,IF(G31="AGENTE APERTURA",'Semana 1'!$L31+0.014,IF(G31="AGENTE CIERRE",'Semana 1'!$L31+0.014," - ")))))</f>
        <v> - </v>
      </c>
      <c r="N31" s="24"/>
      <c r="O31" s="24" t="str">
        <f>IF(G31="AGENTE",'Semana 1'!$N31+0.007,IF(G31="REDES",'Semana 1'!$N31+0.007,IF(G31="AGENTE RM",'Semana 1'!$N31+0.007,IF(G31="AGENTE APERTURA",'Semana 1'!$N31+0.007,IF(G31="AGENTE CIERRE",'Semana 1'!$N31+0.007," - ")))))</f>
        <v> - </v>
      </c>
      <c r="P31" s="25" t="str">
        <f t="shared" si="2"/>
        <v>-1.0</v>
      </c>
      <c r="Q31" s="24"/>
      <c r="R31" s="24" t="str">
        <f t="shared" si="38"/>
        <v/>
      </c>
      <c r="S31" s="26"/>
      <c r="T31" s="26"/>
      <c r="U31" s="24"/>
      <c r="V31" s="24" t="str">
        <f t="shared" si="40"/>
        <v/>
      </c>
      <c r="W31" s="26"/>
      <c r="X31" s="26"/>
      <c r="Y31" s="25" t="str">
        <f t="shared" si="35"/>
        <v>0.0</v>
      </c>
      <c r="Z31" s="25" t="str">
        <f t="shared" ref="Z31:AC31" si="42">$P31</f>
        <v>-1.0</v>
      </c>
      <c r="AA31" s="25" t="str">
        <f t="shared" si="42"/>
        <v>-1.0</v>
      </c>
      <c r="AB31" s="25" t="str">
        <f t="shared" si="42"/>
        <v>-1.0</v>
      </c>
      <c r="AC31" s="25" t="str">
        <f t="shared" si="42"/>
        <v>-1.0</v>
      </c>
      <c r="AD31" s="27" t="str">
        <f t="shared" si="4"/>
        <v>-5</v>
      </c>
    </row>
    <row r="32" ht="15.75" customHeight="1">
      <c r="B32" s="18">
        <v>27.0</v>
      </c>
      <c r="C32" s="18" t="s">
        <v>38</v>
      </c>
      <c r="D32" s="19"/>
      <c r="E32" s="20" t="str">
        <f>Personal!G32</f>
        <v>Consuelo Magali Herrarte Bautista</v>
      </c>
      <c r="F32" s="20" t="s">
        <v>13</v>
      </c>
      <c r="G32" s="20" t="str">
        <f>Personal!H32</f>
        <v>AGENTE</v>
      </c>
      <c r="H32" s="21">
        <v>0.4166666666666667</v>
      </c>
      <c r="I32" s="21" t="str">
        <f t="shared" si="37"/>
        <v>19:00</v>
      </c>
      <c r="J32" s="21">
        <v>0.625</v>
      </c>
      <c r="K32" s="21" t="str">
        <f>IF(G32="AGENTE",'Semana 1'!$J32+0.042,IF(G32="REDES",'Semana 1'!$J32+0.042,IF(G32="AGENTE RM",'Semana 1'!$J32+0.042,IF(G32="AGENTE APERTURA",'Semana 1'!$J32+0.021,IF(G32="AGENTE CIERRE",'Semana 1'!$J32+0.021," - ")))))</f>
        <v>16:00</v>
      </c>
      <c r="L32" s="21">
        <v>0.4375</v>
      </c>
      <c r="M32" s="21" t="str">
        <f>IF(G32="AGENTE",'Semana 1'!$L32+0.014,IF(G32="REDES",'Semana 1'!$L32+0.014,IF(G32="AGENTE RM",'Semana 1'!$L32+0.014,IF(G32="AGENTE APERTURA",'Semana 1'!$L32+0.014,IF(G32="AGENTE CIERRE",'Semana 1'!$L32+0.014," - ")))))</f>
        <v>10:50</v>
      </c>
      <c r="N32" s="21">
        <v>0.75</v>
      </c>
      <c r="O32" s="21" t="str">
        <f>IF(G32="AGENTE",'Semana 1'!$N32+0.007,IF(G32="REDES",'Semana 1'!$N32+0.007,IF(G32="AGENTE RM",'Semana 1'!$N32+0.007,IF(G32="AGENTE APERTURA",'Semana 1'!$N32+0.007,IF(G32="AGENTE CIERRE",'Semana 1'!$N32+0.007," - ")))))</f>
        <v>18:10</v>
      </c>
      <c r="P32" s="22" t="str">
        <f t="shared" si="2"/>
        <v>8.0</v>
      </c>
      <c r="Q32" s="21">
        <v>0.4166666666666667</v>
      </c>
      <c r="R32" s="21" t="str">
        <f t="shared" si="38"/>
        <v>15:00</v>
      </c>
      <c r="S32" s="28"/>
      <c r="T32" s="28"/>
      <c r="U32" s="21">
        <v>0.4791666666666667</v>
      </c>
      <c r="V32" s="21" t="str">
        <f t="shared" si="40"/>
        <v>12:00</v>
      </c>
      <c r="W32" s="28"/>
      <c r="X32" s="28"/>
      <c r="Y32" s="22" t="str">
        <f t="shared" si="35"/>
        <v>5.0</v>
      </c>
      <c r="Z32" s="22" t="str">
        <f t="shared" ref="Z32:AC32" si="43">$P32</f>
        <v>8.0</v>
      </c>
      <c r="AA32" s="22" t="str">
        <f t="shared" si="43"/>
        <v>8.0</v>
      </c>
      <c r="AB32" s="22" t="str">
        <f t="shared" si="43"/>
        <v>8.0</v>
      </c>
      <c r="AC32" s="22" t="str">
        <f t="shared" si="43"/>
        <v>8.0</v>
      </c>
      <c r="AD32" s="23" t="str">
        <f t="shared" si="4"/>
        <v>45</v>
      </c>
    </row>
    <row r="33" ht="15.75" customHeight="1">
      <c r="B33" s="18">
        <v>28.0</v>
      </c>
      <c r="C33" s="18" t="s">
        <v>39</v>
      </c>
      <c r="D33" s="19"/>
      <c r="E33" s="20" t="str">
        <f>Personal!G33</f>
        <v>-</v>
      </c>
      <c r="F33" s="20" t="s">
        <v>13</v>
      </c>
      <c r="G33" s="20" t="str">
        <f>Personal!H33</f>
        <v>-</v>
      </c>
      <c r="H33" s="24"/>
      <c r="I33" s="24" t="str">
        <f>IF(H33=0," ",IF(Q33=0,(H33+0.417),(H33+0.292)))</f>
        <v> </v>
      </c>
      <c r="J33" s="24"/>
      <c r="K33" s="24" t="str">
        <f>IF(G33="AGENTE",'Semana 1'!$J33+0.042,IF(G33="REDES",'Semana 1'!$J33+0.042,IF(G33="AGENTE RM",'Semana 1'!$J33+0.042,IF(G33="AGENTE APERTURA",'Semana 1'!$J33+0.021,IF(G33="AGENTE CIERRE",'Semana 1'!$J33+0.021," - ")))))</f>
        <v> - </v>
      </c>
      <c r="L33" s="24"/>
      <c r="M33" s="24" t="str">
        <f>IF(G33="AGENTE",'Semana 1'!$L33+0.014,IF(G33="REDES",'Semana 1'!$L33+0.014,IF(G33="AGENTE RM",'Semana 1'!$L33+0.014,IF(G33="AGENTE APERTURA",'Semana 1'!$L33+0.014,IF(G33="AGENTE CIERRE",'Semana 1'!$L33+0.014," - ")))))</f>
        <v> - </v>
      </c>
      <c r="N33" s="24"/>
      <c r="O33" s="24" t="str">
        <f>IF(G33="AGENTE",'Semana 1'!$N33+0.007,IF(G33="REDES",'Semana 1'!$N33+0.007,IF(G33="AGENTE RM",'Semana 1'!$N33+0.007,IF(G33="AGENTE APERTURA",'Semana 1'!$N33+0.007,IF(G33="AGENTE CIERRE",'Semana 1'!$N33+0.007," - ")))))</f>
        <v> - </v>
      </c>
      <c r="P33" s="25" t="str">
        <f t="shared" si="2"/>
        <v>-1.0</v>
      </c>
      <c r="Q33" s="24"/>
      <c r="R33" s="24" t="str">
        <f>IF(Q33=0," ",IF(Z33=0,(Q33+0.417),(Q33+0.292)))</f>
        <v> </v>
      </c>
      <c r="S33" s="26"/>
      <c r="T33" s="26" t="str">
        <f t="shared" ref="T33:T35" si="45">IF(S33=0,"",S33+0.041)</f>
        <v/>
      </c>
      <c r="U33" s="24"/>
      <c r="V33" s="24" t="str">
        <f t="shared" ref="V33:V35" si="46">IF(U33=0,"",U33+0.01)</f>
        <v/>
      </c>
      <c r="W33" s="26"/>
      <c r="X33" s="26" t="str">
        <f t="shared" ref="X33:X35" si="47">IF(W33=0,"",W33+0.01)</f>
        <v/>
      </c>
      <c r="Y33" s="25" t="str">
        <f t="shared" si="35"/>
        <v>0.0</v>
      </c>
      <c r="Z33" s="25" t="str">
        <f t="shared" ref="Z33:AC33" si="44">$P33</f>
        <v>-1.0</v>
      </c>
      <c r="AA33" s="25" t="str">
        <f t="shared" si="44"/>
        <v>-1.0</v>
      </c>
      <c r="AB33" s="25" t="str">
        <f t="shared" si="44"/>
        <v>-1.0</v>
      </c>
      <c r="AC33" s="25" t="str">
        <f t="shared" si="44"/>
        <v>-1.0</v>
      </c>
      <c r="AD33" s="27" t="str">
        <f t="shared" si="4"/>
        <v>-5</v>
      </c>
    </row>
    <row r="34" ht="15.75" customHeight="1">
      <c r="B34" s="18">
        <v>29.0</v>
      </c>
      <c r="C34" s="18" t="s">
        <v>39</v>
      </c>
      <c r="D34" s="19"/>
      <c r="E34" s="20" t="str">
        <f>Personal!G34</f>
        <v>-</v>
      </c>
      <c r="F34" s="20" t="s">
        <v>13</v>
      </c>
      <c r="G34" s="20" t="str">
        <f>Personal!H34</f>
        <v>-</v>
      </c>
      <c r="H34" s="21"/>
      <c r="I34" s="21" t="str">
        <f t="shared" ref="I34:I38" si="49">IF(H34=0," ",IF(Q34=0,(H34+0.417),(H34+0.3756)))</f>
        <v> </v>
      </c>
      <c r="J34" s="21"/>
      <c r="K34" s="21" t="str">
        <f>IF(G34="AGENTE",'Semana 1'!$J34+0.042,IF(G34="REDES",'Semana 1'!$J34+0.042,IF(G34="AGENTE RM",'Semana 1'!$J34+0.042,IF(G34="AGENTE APERTURA",'Semana 1'!$J34+0.021,IF(G34="AGENTE CIERRE",'Semana 1'!$J34+0.021," - ")))))</f>
        <v> - </v>
      </c>
      <c r="L34" s="21"/>
      <c r="M34" s="21" t="str">
        <f>IF(G34="AGENTE",'Semana 1'!$L34+0.014,IF(G34="REDES",'Semana 1'!$L34+0.014,IF(G34="AGENTE RM",'Semana 1'!$L34+0.014,IF(G34="AGENTE APERTURA",'Semana 1'!$L34+0.014,IF(G34="AGENTE CIERRE",'Semana 1'!$L34+0.014," - ")))))</f>
        <v> - </v>
      </c>
      <c r="N34" s="21"/>
      <c r="O34" s="21" t="str">
        <f>IF(G34="AGENTE",'Semana 1'!$N34+0.007,IF(G34="REDES",'Semana 1'!$N34+0.007,IF(G34="AGENTE RM",'Semana 1'!$N34+0.007,IF(G34="AGENTE APERTURA",'Semana 1'!$N34+0.007,IF(G34="AGENTE CIERRE",'Semana 1'!$N34+0.007," - ")))))</f>
        <v> - </v>
      </c>
      <c r="P34" s="22" t="str">
        <f t="shared" si="2"/>
        <v>-1.0</v>
      </c>
      <c r="Q34" s="21"/>
      <c r="R34" s="21" t="str">
        <f t="shared" ref="R34:R38" si="50">IF(Q34=0,"",Q34+0.209)</f>
        <v/>
      </c>
      <c r="S34" s="21"/>
      <c r="T34" s="21" t="str">
        <f t="shared" si="45"/>
        <v/>
      </c>
      <c r="U34" s="21"/>
      <c r="V34" s="21" t="str">
        <f t="shared" si="46"/>
        <v/>
      </c>
      <c r="W34" s="21"/>
      <c r="X34" s="21" t="str">
        <f t="shared" si="47"/>
        <v/>
      </c>
      <c r="Y34" s="22" t="str">
        <f t="shared" si="35"/>
        <v>0.0</v>
      </c>
      <c r="Z34" s="22" t="str">
        <f t="shared" ref="Z34:AC34" si="48">$P34</f>
        <v>-1.0</v>
      </c>
      <c r="AA34" s="22" t="str">
        <f t="shared" si="48"/>
        <v>-1.0</v>
      </c>
      <c r="AB34" s="22" t="str">
        <f t="shared" si="48"/>
        <v>-1.0</v>
      </c>
      <c r="AC34" s="22" t="str">
        <f t="shared" si="48"/>
        <v>-1.0</v>
      </c>
      <c r="AD34" s="23" t="str">
        <f t="shared" si="4"/>
        <v>-5</v>
      </c>
    </row>
    <row r="35" ht="15.75" customHeight="1">
      <c r="B35" s="18">
        <v>30.0</v>
      </c>
      <c r="C35" s="18" t="s">
        <v>38</v>
      </c>
      <c r="D35" s="19"/>
      <c r="E35" s="20" t="str">
        <f>Personal!G35</f>
        <v>Yoselin Delfina Lucas Juárez</v>
      </c>
      <c r="F35" s="20" t="s">
        <v>13</v>
      </c>
      <c r="G35" s="20" t="str">
        <f>Personal!H35</f>
        <v>REDES</v>
      </c>
      <c r="H35" s="24">
        <v>0.375</v>
      </c>
      <c r="I35" s="24" t="str">
        <f t="shared" si="49"/>
        <v>18:00</v>
      </c>
      <c r="J35" s="24">
        <v>0.5</v>
      </c>
      <c r="K35" s="24" t="str">
        <f>IF(G35="AGENTE",'Semana 1'!$J35+0.042,IF(G35="REDES",'Semana 1'!$J35+0.042,IF(G35="AGENTE RM",'Semana 1'!$J35+0.042,IF(G35="AGENTE APERTURA",'Semana 1'!$J35+0.021,IF(G35="AGENTE CIERRE",'Semana 1'!$J35+0.021," - ")))))</f>
        <v>13:00</v>
      </c>
      <c r="L35" s="24">
        <v>0.4444444444444444</v>
      </c>
      <c r="M35" s="24" t="str">
        <f>IF(G35="AGENTE",'Semana 1'!$L35+0.014,IF(G35="REDES",'Semana 1'!$L35+0.014,IF(G35="AGENTE RM",'Semana 1'!$L35+0.014,IF(G35="AGENTE APERTURA",'Semana 1'!$L35+0.014,IF(G35="AGENTE CIERRE",'Semana 1'!$L35+0.014," - ")))))</f>
        <v>11:00</v>
      </c>
      <c r="N35" s="24">
        <v>0.6666666666666666</v>
      </c>
      <c r="O35" s="24" t="str">
        <f>IF(G35="AGENTE",'Semana 1'!$N35+0.007,IF(G35="REDES",'Semana 1'!$N35+0.007,IF(G35="AGENTE RM",'Semana 1'!$N35+0.007,IF(G35="AGENTE APERTURA",'Semana 1'!$N35+0.007,IF(G35="AGENTE CIERRE",'Semana 1'!$N35+0.007," - ")))))</f>
        <v>16:10</v>
      </c>
      <c r="P35" s="25" t="str">
        <f t="shared" si="2"/>
        <v>8.0</v>
      </c>
      <c r="Q35" s="24">
        <v>0.4166666666666667</v>
      </c>
      <c r="R35" s="24" t="str">
        <f t="shared" si="50"/>
        <v>15:00</v>
      </c>
      <c r="S35" s="26"/>
      <c r="T35" s="26" t="str">
        <f t="shared" si="45"/>
        <v/>
      </c>
      <c r="U35" s="24">
        <v>0.5</v>
      </c>
      <c r="V35" s="24" t="str">
        <f t="shared" si="46"/>
        <v>12:14</v>
      </c>
      <c r="W35" s="26"/>
      <c r="X35" s="26" t="str">
        <f t="shared" si="47"/>
        <v/>
      </c>
      <c r="Y35" s="25" t="str">
        <f t="shared" si="35"/>
        <v>5.0</v>
      </c>
      <c r="Z35" s="25" t="str">
        <f t="shared" ref="Z35:AC35" si="51">$P35</f>
        <v>8.0</v>
      </c>
      <c r="AA35" s="25" t="str">
        <f t="shared" si="51"/>
        <v>8.0</v>
      </c>
      <c r="AB35" s="25" t="str">
        <f t="shared" si="51"/>
        <v>8.0</v>
      </c>
      <c r="AC35" s="25" t="str">
        <f t="shared" si="51"/>
        <v>8.0</v>
      </c>
      <c r="AD35" s="27" t="str">
        <f t="shared" si="4"/>
        <v>45</v>
      </c>
    </row>
    <row r="36" ht="15.75" customHeight="1">
      <c r="B36" s="18">
        <v>31.0</v>
      </c>
      <c r="C36" s="18" t="s">
        <v>38</v>
      </c>
      <c r="D36" s="19"/>
      <c r="E36" s="20" t="str">
        <f>Personal!G36</f>
        <v>Marleny Elizabeth Orozco Carrera</v>
      </c>
      <c r="F36" s="20" t="s">
        <v>13</v>
      </c>
      <c r="G36" s="20" t="str">
        <f>Personal!H36</f>
        <v>AGENTE</v>
      </c>
      <c r="H36" s="21">
        <v>0.3333333333333333</v>
      </c>
      <c r="I36" s="21" t="str">
        <f t="shared" si="49"/>
        <v>17:00</v>
      </c>
      <c r="J36" s="21">
        <v>0.5625</v>
      </c>
      <c r="K36" s="21" t="str">
        <f>IF(G36="AGENTE",'Semana 1'!$J36+0.042,IF(G36="REDES",'Semana 1'!$J36+0.042,IF(G36="AGENTE RM",'Semana 1'!$J36+0.042,IF(G36="AGENTE APERTURA",'Semana 1'!$J36+0.021,IF(G36="AGENTE CIERRE",'Semana 1'!$J36+0.021," - ")))))</f>
        <v>14:30</v>
      </c>
      <c r="L36" s="21">
        <v>0.34375</v>
      </c>
      <c r="M36" s="21" t="str">
        <f>IF(G36="AGENTE",'Semana 1'!$L36+0.014,IF(G36="REDES",'Semana 1'!$L36+0.014,IF(G36="AGENTE RM",'Semana 1'!$L36+0.014,IF(G36="AGENTE APERTURA",'Semana 1'!$L36+0.014,IF(G36="AGENTE CIERRE",'Semana 1'!$L36+0.014," - ")))))</f>
        <v>8:35</v>
      </c>
      <c r="N36" s="21">
        <v>0.6770833333333334</v>
      </c>
      <c r="O36" s="21" t="str">
        <f>IF(G36="AGENTE",'Semana 1'!$N36+0.007,IF(G36="REDES",'Semana 1'!$N36+0.007,IF(G36="AGENTE RM",'Semana 1'!$N36+0.007,IF(G36="AGENTE APERTURA",'Semana 1'!$N36+0.007,IF(G36="AGENTE CIERRE",'Semana 1'!$N36+0.007," - ")))))</f>
        <v>16:25</v>
      </c>
      <c r="P36" s="22" t="str">
        <f t="shared" si="2"/>
        <v>8.0</v>
      </c>
      <c r="Q36" s="21">
        <v>0.3541666666666667</v>
      </c>
      <c r="R36" s="21" t="str">
        <f t="shared" si="50"/>
        <v>13:30</v>
      </c>
      <c r="S36" s="28"/>
      <c r="T36" s="28"/>
      <c r="U36" s="21">
        <v>0.375</v>
      </c>
      <c r="V36" s="21" t="str">
        <f t="shared" ref="V36:V45" si="53">IF(U36=0,"",U36+0.021)</f>
        <v>9:30</v>
      </c>
      <c r="W36" s="28"/>
      <c r="X36" s="28"/>
      <c r="Y36" s="22" t="str">
        <f t="shared" si="35"/>
        <v>5.0</v>
      </c>
      <c r="Z36" s="22" t="str">
        <f t="shared" ref="Z36:AC36" si="52">$P36</f>
        <v>8.0</v>
      </c>
      <c r="AA36" s="22" t="str">
        <f t="shared" si="52"/>
        <v>8.0</v>
      </c>
      <c r="AB36" s="22" t="str">
        <f t="shared" si="52"/>
        <v>8.0</v>
      </c>
      <c r="AC36" s="22" t="str">
        <f t="shared" si="52"/>
        <v>8.0</v>
      </c>
      <c r="AD36" s="23" t="str">
        <f t="shared" si="4"/>
        <v>45</v>
      </c>
    </row>
    <row r="37" ht="15.75" customHeight="1">
      <c r="B37" s="18">
        <v>32.0</v>
      </c>
      <c r="C37" s="18" t="s">
        <v>38</v>
      </c>
      <c r="D37" s="19"/>
      <c r="E37" s="20" t="str">
        <f>Personal!G37</f>
        <v>Cristian Eduardo Xiloj Zamor</v>
      </c>
      <c r="F37" s="20" t="s">
        <v>13</v>
      </c>
      <c r="G37" s="20" t="str">
        <f>Personal!H37</f>
        <v>AGENTE RM</v>
      </c>
      <c r="H37" s="24">
        <v>0.2916666666666667</v>
      </c>
      <c r="I37" s="24" t="str">
        <f t="shared" si="49"/>
        <v>16:00</v>
      </c>
      <c r="J37" s="24">
        <v>0.5</v>
      </c>
      <c r="K37" s="24" t="str">
        <f>IF(G37="AGENTE",'Semana 1'!$J37+0.042,IF(G37="REDES",'Semana 1'!$J37+0.042,IF(G37="AGENTE RM",'Semana 1'!$J37+0.042,IF(G37="AGENTE APERTURA",'Semana 1'!$J37+0.021,IF(G37="AGENTE CIERRE",'Semana 1'!$J37+0.021," - ")))))</f>
        <v>13:00</v>
      </c>
      <c r="L37" s="24">
        <v>0.3333333333333333</v>
      </c>
      <c r="M37" s="24" t="str">
        <f>IF(G37="AGENTE",'Semana 1'!$L37+0.014,IF(G37="REDES",'Semana 1'!$L37+0.014,IF(G37="AGENTE RM",'Semana 1'!$L37+0.014,IF(G37="AGENTE APERTURA",'Semana 1'!$L37+0.014,IF(G37="AGENTE CIERRE",'Semana 1'!$L37+0.014," - ")))))</f>
        <v>8:20</v>
      </c>
      <c r="N37" s="24">
        <v>0.59375</v>
      </c>
      <c r="O37" s="24" t="str">
        <f>IF(G37="AGENTE",'Semana 1'!$N37+0.007,IF(G37="REDES",'Semana 1'!$N37+0.007,IF(G37="AGENTE RM",'Semana 1'!$N37+0.007,IF(G37="AGENTE APERTURA",'Semana 1'!$N37+0.007,IF(G37="AGENTE CIERRE",'Semana 1'!$N37+0.007," - ")))))</f>
        <v>14:25</v>
      </c>
      <c r="P37" s="25" t="str">
        <f t="shared" si="2"/>
        <v>8.0</v>
      </c>
      <c r="Q37" s="24">
        <v>0.2916666666666667</v>
      </c>
      <c r="R37" s="24" t="str">
        <f t="shared" si="50"/>
        <v>12:00</v>
      </c>
      <c r="S37" s="26"/>
      <c r="T37" s="26"/>
      <c r="U37" s="24">
        <v>0.3541666666666667</v>
      </c>
      <c r="V37" s="24" t="str">
        <f t="shared" si="53"/>
        <v>9:00</v>
      </c>
      <c r="W37" s="26"/>
      <c r="X37" s="26"/>
      <c r="Y37" s="25" t="str">
        <f t="shared" si="35"/>
        <v>5.0</v>
      </c>
      <c r="Z37" s="25" t="str">
        <f t="shared" ref="Z37:AC37" si="54">$P37</f>
        <v>8.0</v>
      </c>
      <c r="AA37" s="25" t="str">
        <f t="shared" si="54"/>
        <v>8.0</v>
      </c>
      <c r="AB37" s="25" t="str">
        <f t="shared" si="54"/>
        <v>8.0</v>
      </c>
      <c r="AC37" s="25" t="str">
        <f t="shared" si="54"/>
        <v>8.0</v>
      </c>
      <c r="AD37" s="27" t="str">
        <f t="shared" si="4"/>
        <v>45</v>
      </c>
    </row>
    <row r="38" ht="15.75" customHeight="1">
      <c r="B38" s="18">
        <v>33.0</v>
      </c>
      <c r="C38" s="18" t="s">
        <v>39</v>
      </c>
      <c r="D38" s="19"/>
      <c r="E38" s="20" t="str">
        <f>Personal!G38</f>
        <v>-</v>
      </c>
      <c r="F38" s="20" t="s">
        <v>13</v>
      </c>
      <c r="G38" s="20" t="str">
        <f>Personal!H38</f>
        <v>-</v>
      </c>
      <c r="H38" s="21"/>
      <c r="I38" s="21" t="str">
        <f t="shared" si="49"/>
        <v> </v>
      </c>
      <c r="J38" s="21"/>
      <c r="K38" s="21" t="str">
        <f>IF(G38="AGENTE",'Semana 1'!$J38+0.042,IF(G38="REDES",'Semana 1'!$J38+0.042,IF(G38="AGENTE RM",'Semana 1'!$J38+0.042,IF(G38="AGENTE APERTURA",'Semana 1'!$J38+0.021,IF(G38="AGENTE CIERRE",'Semana 1'!$J38+0.021," - ")))))</f>
        <v> - </v>
      </c>
      <c r="L38" s="21"/>
      <c r="M38" s="21" t="str">
        <f>IF(G38="AGENTE",'Semana 1'!$L38+0.014,IF(G38="REDES",'Semana 1'!$L38+0.014,IF(G38="AGENTE RM",'Semana 1'!$L38+0.014,IF(G38="AGENTE APERTURA",'Semana 1'!$L38+0.014,IF(G38="AGENTE CIERRE",'Semana 1'!$L38+0.014," - ")))))</f>
        <v> - </v>
      </c>
      <c r="N38" s="21"/>
      <c r="O38" s="21" t="str">
        <f>IF(G38="AGENTE",'Semana 1'!$N38+0.007,IF(G38="REDES",'Semana 1'!$N38+0.007,IF(G38="AGENTE RM",'Semana 1'!$N38+0.007,IF(G38="AGENTE APERTURA",'Semana 1'!$N38+0.007,IF(G38="AGENTE CIERRE",'Semana 1'!$N38+0.007," - ")))))</f>
        <v> - </v>
      </c>
      <c r="P38" s="22" t="str">
        <f t="shared" si="2"/>
        <v>-1.0</v>
      </c>
      <c r="Q38" s="21"/>
      <c r="R38" s="21" t="str">
        <f t="shared" si="50"/>
        <v/>
      </c>
      <c r="S38" s="21"/>
      <c r="T38" s="21"/>
      <c r="U38" s="21"/>
      <c r="V38" s="21" t="str">
        <f t="shared" si="53"/>
        <v/>
      </c>
      <c r="W38" s="21"/>
      <c r="X38" s="21"/>
      <c r="Y38" s="22" t="str">
        <f t="shared" si="35"/>
        <v>0.0</v>
      </c>
      <c r="Z38" s="22" t="str">
        <f t="shared" ref="Z38:AC38" si="55">$P38</f>
        <v>-1.0</v>
      </c>
      <c r="AA38" s="22" t="str">
        <f t="shared" si="55"/>
        <v>-1.0</v>
      </c>
      <c r="AB38" s="22" t="str">
        <f t="shared" si="55"/>
        <v>-1.0</v>
      </c>
      <c r="AC38" s="22" t="str">
        <f t="shared" si="55"/>
        <v>-1.0</v>
      </c>
      <c r="AD38" s="23" t="str">
        <f t="shared" si="4"/>
        <v>-5</v>
      </c>
    </row>
    <row r="39" ht="15.75" customHeight="1">
      <c r="B39" s="18">
        <v>34.0</v>
      </c>
      <c r="C39" s="18" t="s">
        <v>38</v>
      </c>
      <c r="D39" s="19"/>
      <c r="E39" s="20" t="str">
        <f>Personal!G39</f>
        <v>Diego Leonardo Patzan Patzan</v>
      </c>
      <c r="F39" s="20" t="s">
        <v>13</v>
      </c>
      <c r="G39" s="20" t="str">
        <f>Personal!H39</f>
        <v>AGENTE</v>
      </c>
      <c r="H39" s="24">
        <v>0.3333333333333333</v>
      </c>
      <c r="I39" s="24">
        <v>0.6875</v>
      </c>
      <c r="J39" s="24">
        <v>0.5</v>
      </c>
      <c r="K39" s="24" t="str">
        <f>IF(G39="AGENTE",'Semana 1'!$J39+0.042,IF(G39="REDES",'Semana 1'!$J39+0.042,IF(G39="AGENTE RM",'Semana 1'!$J39+0.042,IF(G39="AGENTE APERTURA",'Semana 1'!$J39+0.021,IF(G39="AGENTE CIERRE",'Semana 1'!$J39+0.021," - ")))))</f>
        <v>13:00</v>
      </c>
      <c r="L39" s="24">
        <v>0.3541666666666667</v>
      </c>
      <c r="M39" s="24" t="str">
        <f>IF(G39="AGENTE",'Semana 1'!$L39+0.014,IF(G39="REDES",'Semana 1'!$L39+0.014,IF(G39="AGENTE RM",'Semana 1'!$L39+0.014,IF(G39="AGENTE APERTURA",'Semana 1'!$L39+0.014,IF(G39="AGENTE CIERRE",'Semana 1'!$L39+0.014," - ")))))</f>
        <v>8:50</v>
      </c>
      <c r="N39" s="24">
        <v>0.14583333333333334</v>
      </c>
      <c r="O39" s="24" t="str">
        <f>IF(G39="AGENTE",'Semana 1'!$N39+0.007,IF(G39="REDES",'Semana 1'!$N39+0.007,IF(G39="AGENTE RM",'Semana 1'!$N39+0.007,IF(G39="AGENTE APERTURA",'Semana 1'!$N39+0.007,IF(G39="AGENTE CIERRE",'Semana 1'!$N39+0.007," - ")))))</f>
        <v>3:40</v>
      </c>
      <c r="P39" s="25" t="str">
        <f t="shared" si="2"/>
        <v>7.5</v>
      </c>
      <c r="Q39" s="24">
        <v>0.3541666666666667</v>
      </c>
      <c r="R39" s="24">
        <v>0.6666666666666666</v>
      </c>
      <c r="S39" s="26"/>
      <c r="T39" s="26"/>
      <c r="U39" s="24">
        <v>0.5416666666666666</v>
      </c>
      <c r="V39" s="24" t="str">
        <f t="shared" si="53"/>
        <v>13:30</v>
      </c>
      <c r="W39" s="26"/>
      <c r="X39" s="26"/>
      <c r="Y39" s="25" t="str">
        <f t="shared" si="35"/>
        <v>7.5</v>
      </c>
      <c r="Z39" s="25" t="str">
        <f t="shared" ref="Z39:AC39" si="56">$P39</f>
        <v>7.5</v>
      </c>
      <c r="AA39" s="25" t="str">
        <f t="shared" si="56"/>
        <v>7.5</v>
      </c>
      <c r="AB39" s="25" t="str">
        <f t="shared" si="56"/>
        <v>7.5</v>
      </c>
      <c r="AC39" s="25" t="str">
        <f t="shared" si="56"/>
        <v>7.5</v>
      </c>
      <c r="AD39" s="27" t="str">
        <f t="shared" si="4"/>
        <v>45</v>
      </c>
    </row>
    <row r="40" ht="15.75" customHeight="1">
      <c r="B40" s="18">
        <v>35.0</v>
      </c>
      <c r="C40" s="18" t="s">
        <v>38</v>
      </c>
      <c r="D40" s="19"/>
      <c r="E40" s="20" t="str">
        <f>Personal!G40</f>
        <v>Erick Gabriel Velasquez Marroquin</v>
      </c>
      <c r="F40" s="20" t="s">
        <v>13</v>
      </c>
      <c r="G40" s="20" t="str">
        <f>Personal!H40</f>
        <v>AGENTE</v>
      </c>
      <c r="H40" s="21">
        <v>0.375</v>
      </c>
      <c r="I40" s="21" t="str">
        <f t="shared" ref="I40:I53" si="58">IF(H40=0," ",IF(Q40=0,(H40+0.417),(H40+0.3756)))</f>
        <v>18:00</v>
      </c>
      <c r="J40" s="21">
        <v>0.5416666666666666</v>
      </c>
      <c r="K40" s="21" t="str">
        <f>IF(G40="AGENTE",'Semana 1'!$J40+0.042,IF(G40="REDES",'Semana 1'!$J40+0.042,IF(G40="AGENTE RM",'Semana 1'!$J40+0.042,IF(G40="AGENTE APERTURA",'Semana 1'!$J40+0.021,IF(G40="AGENTE CIERRE",'Semana 1'!$J40+0.021," - ")))))</f>
        <v>14:00</v>
      </c>
      <c r="L40" s="21">
        <v>0.2916666666666667</v>
      </c>
      <c r="M40" s="21" t="str">
        <f>IF(G40="AGENTE",'Semana 1'!$L40+0.014,IF(G40="REDES",'Semana 1'!$L40+0.014,IF(G40="AGENTE RM",'Semana 1'!$L40+0.014,IF(G40="AGENTE APERTURA",'Semana 1'!$L40+0.014,IF(G40="AGENTE CIERRE",'Semana 1'!$L40+0.014," - ")))))</f>
        <v>7:20</v>
      </c>
      <c r="N40" s="21">
        <v>0.6770833333333334</v>
      </c>
      <c r="O40" s="21" t="str">
        <f>IF(G40="AGENTE",'Semana 1'!$N40+0.007,IF(G40="REDES",'Semana 1'!$N40+0.007,IF(G40="AGENTE RM",'Semana 1'!$N40+0.007,IF(G40="AGENTE APERTURA",'Semana 1'!$N40+0.007,IF(G40="AGENTE CIERRE",'Semana 1'!$N40+0.007," - ")))))</f>
        <v>16:25</v>
      </c>
      <c r="P40" s="22" t="str">
        <f t="shared" si="2"/>
        <v>8.0</v>
      </c>
      <c r="Q40" s="21">
        <v>0.375</v>
      </c>
      <c r="R40" s="21" t="str">
        <f t="shared" ref="R40:R53" si="59">IF(Q40=0,"",Q40+0.209)</f>
        <v>14:00</v>
      </c>
      <c r="S40" s="28"/>
      <c r="T40" s="28" t="str">
        <f>IF(S40=0,"",S40+0.041)</f>
        <v/>
      </c>
      <c r="U40" s="21">
        <v>0.5625</v>
      </c>
      <c r="V40" s="21" t="str">
        <f t="shared" si="53"/>
        <v>14:00</v>
      </c>
      <c r="W40" s="28"/>
      <c r="X40" s="28" t="str">
        <f>IF(W40=0,"",W40+0.01)</f>
        <v/>
      </c>
      <c r="Y40" s="22" t="str">
        <f t="shared" si="35"/>
        <v>5.0</v>
      </c>
      <c r="Z40" s="22" t="str">
        <f t="shared" ref="Z40:AC40" si="57">$P40</f>
        <v>8.0</v>
      </c>
      <c r="AA40" s="22" t="str">
        <f t="shared" si="57"/>
        <v>8.0</v>
      </c>
      <c r="AB40" s="22" t="str">
        <f t="shared" si="57"/>
        <v>8.0</v>
      </c>
      <c r="AC40" s="22" t="str">
        <f t="shared" si="57"/>
        <v>8.0</v>
      </c>
      <c r="AD40" s="23" t="str">
        <f t="shared" si="4"/>
        <v>45</v>
      </c>
    </row>
    <row r="41" ht="15.75" customHeight="1">
      <c r="B41" s="18">
        <v>36.0</v>
      </c>
      <c r="C41" s="18" t="s">
        <v>38</v>
      </c>
      <c r="D41" s="19"/>
      <c r="E41" s="20" t="str">
        <f>Personal!G41</f>
        <v>Catherine Patricia Castillo Monzon </v>
      </c>
      <c r="F41" s="20" t="s">
        <v>13</v>
      </c>
      <c r="G41" s="20" t="str">
        <f>Personal!H41</f>
        <v>AGENTE</v>
      </c>
      <c r="H41" s="24">
        <v>0.3333333333333333</v>
      </c>
      <c r="I41" s="24" t="str">
        <f t="shared" si="58"/>
        <v>17:00</v>
      </c>
      <c r="J41" s="24">
        <v>0.5416666666666666</v>
      </c>
      <c r="K41" s="24" t="str">
        <f>IF(G41="AGENTE",'Semana 1'!$J41+0.042,IF(G41="REDES",'Semana 1'!$J41+0.042,IF(G41="AGENTE RM",'Semana 1'!$J41+0.042,IF(G41="AGENTE APERTURA",'Semana 1'!$J41+0.021,IF(G41="AGENTE CIERRE",'Semana 1'!$J41+0.021," - ")))))</f>
        <v>14:00</v>
      </c>
      <c r="L41" s="24">
        <v>0.3958333333333333</v>
      </c>
      <c r="M41" s="24" t="str">
        <f>IF(G41="AGENTE",'Semana 1'!$L41+0.014,IF(G41="REDES",'Semana 1'!$L41+0.014,IF(G41="AGENTE RM",'Semana 1'!$L41+0.014,IF(G41="AGENTE APERTURA",'Semana 1'!$L41+0.014,IF(G41="AGENTE CIERRE",'Semana 1'!$L41+0.014," - ")))))</f>
        <v>9:50</v>
      </c>
      <c r="N41" s="24">
        <v>0.6979166666666666</v>
      </c>
      <c r="O41" s="24" t="str">
        <f>IF(G41="AGENTE",'Semana 1'!$N41+0.007,IF(G41="REDES",'Semana 1'!$N41+0.007,IF(G41="AGENTE RM",'Semana 1'!$N41+0.007,IF(G41="AGENTE APERTURA",'Semana 1'!$N41+0.007,IF(G41="AGENTE CIERRE",'Semana 1'!$N41+0.007," - ")))))</f>
        <v>16:55</v>
      </c>
      <c r="P41" s="25" t="str">
        <f t="shared" si="2"/>
        <v>8.0</v>
      </c>
      <c r="Q41" s="24">
        <v>0.3333333333333333</v>
      </c>
      <c r="R41" s="24" t="str">
        <f t="shared" si="59"/>
        <v>13:00</v>
      </c>
      <c r="S41" s="26"/>
      <c r="T41" s="26"/>
      <c r="U41" s="24">
        <v>0.4375</v>
      </c>
      <c r="V41" s="24" t="str">
        <f t="shared" si="53"/>
        <v>11:00</v>
      </c>
      <c r="W41" s="26"/>
      <c r="X41" s="26"/>
      <c r="Y41" s="25" t="str">
        <f t="shared" si="35"/>
        <v>5.0</v>
      </c>
      <c r="Z41" s="25" t="str">
        <f t="shared" ref="Z41:AC41" si="60">$P41</f>
        <v>8.0</v>
      </c>
      <c r="AA41" s="25" t="str">
        <f t="shared" si="60"/>
        <v>8.0</v>
      </c>
      <c r="AB41" s="25" t="str">
        <f t="shared" si="60"/>
        <v>8.0</v>
      </c>
      <c r="AC41" s="25" t="str">
        <f t="shared" si="60"/>
        <v>8.0</v>
      </c>
      <c r="AD41" s="27" t="str">
        <f t="shared" si="4"/>
        <v>45</v>
      </c>
    </row>
    <row r="42" ht="15.75" customHeight="1">
      <c r="B42" s="18">
        <v>37.0</v>
      </c>
      <c r="C42" s="18" t="s">
        <v>38</v>
      </c>
      <c r="D42" s="19"/>
      <c r="E42" s="20" t="str">
        <f>Personal!G42</f>
        <v>Yandira Yaneth Balcarcel Perez</v>
      </c>
      <c r="F42" s="20" t="s">
        <v>13</v>
      </c>
      <c r="G42" s="20" t="str">
        <f>Personal!H42</f>
        <v>CONTROL</v>
      </c>
      <c r="H42" s="21"/>
      <c r="I42" s="21" t="str">
        <f t="shared" si="58"/>
        <v> </v>
      </c>
      <c r="J42" s="21"/>
      <c r="K42" s="21" t="str">
        <f>IF(G42="AGENTE",'Semana 1'!$J42+0.042,IF(G42="REDES",'Semana 1'!$J42+0.042,IF(G42="AGENTE RM",'Semana 1'!$J42+0.042,IF(G42="AGENTE APERTURA",'Semana 1'!$J42+0.021,IF(G42="AGENTE CIERRE",'Semana 1'!$J42+0.021," - ")))))</f>
        <v> - </v>
      </c>
      <c r="L42" s="21"/>
      <c r="M42" s="21" t="str">
        <f>IF(G42="AGENTE",'Semana 1'!$L42+0.014,IF(G42="REDES",'Semana 1'!$L42+0.014,IF(G42="AGENTE RM",'Semana 1'!$L42+0.014,IF(G42="AGENTE APERTURA",'Semana 1'!$L42+0.014,IF(G42="AGENTE CIERRE",'Semana 1'!$L42+0.014," - ")))))</f>
        <v> - </v>
      </c>
      <c r="N42" s="21"/>
      <c r="O42" s="21" t="str">
        <f>IF(G42="AGENTE",'Semana 1'!$N42+0.007,IF(G42="REDES",'Semana 1'!$N42+0.007,IF(G42="AGENTE RM",'Semana 1'!$N42+0.007,IF(G42="AGENTE APERTURA",'Semana 1'!$N42+0.007,IF(G42="AGENTE CIERRE",'Semana 1'!$N42+0.007," - ")))))</f>
        <v> - </v>
      </c>
      <c r="P42" s="22" t="str">
        <f t="shared" si="2"/>
        <v>-1.0</v>
      </c>
      <c r="Q42" s="21"/>
      <c r="R42" s="21" t="str">
        <f t="shared" si="59"/>
        <v/>
      </c>
      <c r="S42" s="28"/>
      <c r="T42" s="28"/>
      <c r="U42" s="21"/>
      <c r="V42" s="21" t="str">
        <f t="shared" si="53"/>
        <v/>
      </c>
      <c r="W42" s="28"/>
      <c r="X42" s="28"/>
      <c r="Y42" s="22" t="str">
        <f t="shared" si="35"/>
        <v>0.0</v>
      </c>
      <c r="Z42" s="22" t="str">
        <f t="shared" ref="Z42:AC42" si="61">$P42</f>
        <v>-1.0</v>
      </c>
      <c r="AA42" s="22" t="str">
        <f t="shared" si="61"/>
        <v>-1.0</v>
      </c>
      <c r="AB42" s="22" t="str">
        <f t="shared" si="61"/>
        <v>-1.0</v>
      </c>
      <c r="AC42" s="22" t="str">
        <f t="shared" si="61"/>
        <v>-1.0</v>
      </c>
      <c r="AD42" s="23" t="str">
        <f t="shared" si="4"/>
        <v>-5</v>
      </c>
    </row>
    <row r="43" ht="15.75" customHeight="1">
      <c r="B43" s="18">
        <v>38.0</v>
      </c>
      <c r="C43" s="18" t="s">
        <v>38</v>
      </c>
      <c r="D43" s="19"/>
      <c r="E43" s="20" t="str">
        <f>Personal!G43</f>
        <v>Laura Lucia Rabanales Oliva</v>
      </c>
      <c r="F43" s="20" t="s">
        <v>13</v>
      </c>
      <c r="G43" s="20" t="str">
        <f>Personal!H43</f>
        <v>AGENTE RM</v>
      </c>
      <c r="H43" s="24">
        <v>0.2708333333333333</v>
      </c>
      <c r="I43" s="24" t="str">
        <f t="shared" si="58"/>
        <v>15:30</v>
      </c>
      <c r="J43" s="24">
        <v>0.5</v>
      </c>
      <c r="K43" s="24" t="str">
        <f>IF(G43="AGENTE",'Semana 1'!$J43+0.042,IF(G43="REDES",'Semana 1'!$J43+0.042,IF(G43="AGENTE RM",'Semana 1'!$J43+0.042,IF(G43="AGENTE APERTURA",'Semana 1'!$J43+0.021,IF(G43="AGENTE CIERRE",'Semana 1'!$J43+0.021," - ")))))</f>
        <v>13:00</v>
      </c>
      <c r="L43" s="24">
        <v>0.3611111111111111</v>
      </c>
      <c r="M43" s="24" t="str">
        <f>IF(G43="AGENTE",'Semana 1'!$L43+0.014,IF(G43="REDES",'Semana 1'!$L43+0.014,IF(G43="AGENTE RM",'Semana 1'!$L43+0.014,IF(G43="AGENTE APERTURA",'Semana 1'!$L43+0.014,IF(G43="AGENTE CIERRE",'Semana 1'!$L43+0.014," - ")))))</f>
        <v>9:00</v>
      </c>
      <c r="N43" s="24">
        <v>0.5833333333333334</v>
      </c>
      <c r="O43" s="24" t="str">
        <f>IF(G43="AGENTE",'Semana 1'!$N43+0.007,IF(G43="REDES",'Semana 1'!$N43+0.007,IF(G43="AGENTE RM",'Semana 1'!$N43+0.007,IF(G43="AGENTE APERTURA",'Semana 1'!$N43+0.007,IF(G43="AGENTE CIERRE",'Semana 1'!$N43+0.007," - ")))))</f>
        <v>14:10</v>
      </c>
      <c r="P43" s="25" t="str">
        <f t="shared" si="2"/>
        <v>8.0</v>
      </c>
      <c r="Q43" s="24">
        <v>0.2708333333333333</v>
      </c>
      <c r="R43" s="24" t="str">
        <f t="shared" si="59"/>
        <v>11:30</v>
      </c>
      <c r="S43" s="26"/>
      <c r="T43" s="26"/>
      <c r="U43" s="24">
        <v>0.3333333333333333</v>
      </c>
      <c r="V43" s="24" t="str">
        <f t="shared" si="53"/>
        <v>8:30</v>
      </c>
      <c r="W43" s="26"/>
      <c r="X43" s="26"/>
      <c r="Y43" s="25" t="str">
        <f t="shared" si="35"/>
        <v>5.0</v>
      </c>
      <c r="Z43" s="25" t="str">
        <f t="shared" ref="Z43:AC43" si="62">$P43</f>
        <v>8.0</v>
      </c>
      <c r="AA43" s="25" t="str">
        <f t="shared" si="62"/>
        <v>8.0</v>
      </c>
      <c r="AB43" s="25" t="str">
        <f t="shared" si="62"/>
        <v>8.0</v>
      </c>
      <c r="AC43" s="25" t="str">
        <f t="shared" si="62"/>
        <v>8.0</v>
      </c>
      <c r="AD43" s="27" t="str">
        <f t="shared" si="4"/>
        <v>45</v>
      </c>
    </row>
    <row r="44" ht="15.75" customHeight="1">
      <c r="B44" s="18">
        <v>41.0</v>
      </c>
      <c r="C44" s="18" t="s">
        <v>38</v>
      </c>
      <c r="D44" s="19"/>
      <c r="E44" s="20" t="str">
        <f>Personal!G44</f>
        <v>Lilian Josefina Ramirez Estrada</v>
      </c>
      <c r="F44" s="20" t="s">
        <v>13</v>
      </c>
      <c r="G44" s="20" t="str">
        <f>Personal!H44</f>
        <v>SUPERVISORA</v>
      </c>
      <c r="H44" s="21"/>
      <c r="I44" s="21" t="str">
        <f t="shared" si="58"/>
        <v> </v>
      </c>
      <c r="J44" s="21"/>
      <c r="K44" s="21" t="str">
        <f>IF(G44="AGENTE",'Semana 1'!$J44+0.042,IF(G44="REDES",'Semana 1'!$J44+0.042,IF(G44="AGENTE RM",'Semana 1'!$J44+0.042,IF(G44="AGENTE APERTURA",'Semana 1'!$J44+0.021,IF(G44="AGENTE CIERRE",'Semana 1'!$J44+0.021," - ")))))</f>
        <v> - </v>
      </c>
      <c r="L44" s="21"/>
      <c r="M44" s="21" t="str">
        <f>IF(G44="AGENTE",'Semana 1'!$L44+0.014,IF(G44="REDES",'Semana 1'!$L44+0.014,IF(G44="AGENTE RM",'Semana 1'!$L44+0.014,IF(G44="AGENTE APERTURA",'Semana 1'!$L44+0.014,IF(G44="AGENTE CIERRE",'Semana 1'!$L44+0.014," - ")))))</f>
        <v> - </v>
      </c>
      <c r="N44" s="21"/>
      <c r="O44" s="21" t="str">
        <f>IF(G44="AGENTE",'Semana 1'!$N44+0.007,IF(G44="REDES",'Semana 1'!$N44+0.007,IF(G44="AGENTE RM",'Semana 1'!$N44+0.007,IF(G44="AGENTE APERTURA",'Semana 1'!$N44+0.007,IF(G44="AGENTE CIERRE",'Semana 1'!$N44+0.007," - ")))))</f>
        <v> - </v>
      </c>
      <c r="P44" s="22" t="str">
        <f t="shared" si="2"/>
        <v>-1.0</v>
      </c>
      <c r="Q44" s="21"/>
      <c r="R44" s="21" t="str">
        <f t="shared" si="59"/>
        <v/>
      </c>
      <c r="S44" s="21"/>
      <c r="T44" s="21"/>
      <c r="U44" s="21"/>
      <c r="V44" s="21" t="str">
        <f t="shared" si="53"/>
        <v/>
      </c>
      <c r="W44" s="21"/>
      <c r="X44" s="21"/>
      <c r="Y44" s="22" t="str">
        <f t="shared" si="35"/>
        <v>0.0</v>
      </c>
      <c r="Z44" s="22" t="str">
        <f t="shared" ref="Z44:AC44" si="63">$P44</f>
        <v>-1.0</v>
      </c>
      <c r="AA44" s="22" t="str">
        <f t="shared" si="63"/>
        <v>-1.0</v>
      </c>
      <c r="AB44" s="22" t="str">
        <f t="shared" si="63"/>
        <v>-1.0</v>
      </c>
      <c r="AC44" s="22" t="str">
        <f t="shared" si="63"/>
        <v>-1.0</v>
      </c>
      <c r="AD44" s="23" t="str">
        <f t="shared" si="4"/>
        <v>-5</v>
      </c>
    </row>
    <row r="45" ht="15.75" customHeight="1">
      <c r="B45" s="18">
        <v>42.0</v>
      </c>
      <c r="C45" s="18" t="s">
        <v>38</v>
      </c>
      <c r="D45" s="19"/>
      <c r="E45" s="20" t="str">
        <f>Personal!G45</f>
        <v>Wilson Saúl Gómez Mendoza</v>
      </c>
      <c r="F45" s="20" t="s">
        <v>13</v>
      </c>
      <c r="G45" s="20" t="str">
        <f>Personal!H45</f>
        <v>CONTROL</v>
      </c>
      <c r="H45" s="24"/>
      <c r="I45" s="24" t="str">
        <f t="shared" si="58"/>
        <v> </v>
      </c>
      <c r="J45" s="24"/>
      <c r="K45" s="24" t="str">
        <f>IF(G45="AGENTE",'Semana 1'!$J45+0.042,IF(G45="REDES",'Semana 1'!$J45+0.042,IF(G45="AGENTE RM",'Semana 1'!$J45+0.042,IF(G45="AGENTE APERTURA",'Semana 1'!$J45+0.021,IF(G45="AGENTE CIERRE",'Semana 1'!$J45+0.021," - ")))))</f>
        <v> - </v>
      </c>
      <c r="L45" s="24"/>
      <c r="M45" s="24" t="str">
        <f>IF(G45="AGENTE",'Semana 1'!$L45+0.014,IF(G45="REDES",'Semana 1'!$L45+0.014,IF(G45="AGENTE RM",'Semana 1'!$L45+0.014,IF(G45="AGENTE APERTURA",'Semana 1'!$L45+0.014,IF(G45="AGENTE CIERRE",'Semana 1'!$L45+0.014," - ")))))</f>
        <v> - </v>
      </c>
      <c r="N45" s="24"/>
      <c r="O45" s="24" t="str">
        <f>IF(G45="AGENTE",'Semana 1'!$N45+0.007,IF(G45="REDES",'Semana 1'!$N45+0.007,IF(G45="AGENTE RM",'Semana 1'!$N45+0.007,IF(G45="AGENTE APERTURA",'Semana 1'!$N45+0.007,IF(G45="AGENTE CIERRE",'Semana 1'!$N45+0.007," - ")))))</f>
        <v> - </v>
      </c>
      <c r="P45" s="25" t="str">
        <f t="shared" si="2"/>
        <v>-1.0</v>
      </c>
      <c r="Q45" s="24"/>
      <c r="R45" s="24" t="str">
        <f t="shared" si="59"/>
        <v/>
      </c>
      <c r="S45" s="26"/>
      <c r="T45" s="26"/>
      <c r="U45" s="24"/>
      <c r="V45" s="24" t="str">
        <f t="shared" si="53"/>
        <v/>
      </c>
      <c r="W45" s="26"/>
      <c r="X45" s="26"/>
      <c r="Y45" s="25" t="str">
        <f t="shared" si="35"/>
        <v>0.0</v>
      </c>
      <c r="Z45" s="25" t="str">
        <f t="shared" ref="Z45:AC45" si="64">$P45</f>
        <v>-1.0</v>
      </c>
      <c r="AA45" s="25" t="str">
        <f t="shared" si="64"/>
        <v>-1.0</v>
      </c>
      <c r="AB45" s="25" t="str">
        <f t="shared" si="64"/>
        <v>-1.0</v>
      </c>
      <c r="AC45" s="25" t="str">
        <f t="shared" si="64"/>
        <v>-1.0</v>
      </c>
      <c r="AD45" s="27" t="str">
        <f t="shared" si="4"/>
        <v>-5</v>
      </c>
    </row>
    <row r="46" ht="15.75" customHeight="1">
      <c r="B46" s="18">
        <v>43.0</v>
      </c>
      <c r="C46" s="18" t="s">
        <v>38</v>
      </c>
      <c r="D46" s="19"/>
      <c r="E46" s="20" t="str">
        <f>Personal!G46</f>
        <v>Carmen Yanira Brán Oliva</v>
      </c>
      <c r="F46" s="20" t="s">
        <v>13</v>
      </c>
      <c r="G46" s="20" t="str">
        <f>Personal!H46</f>
        <v>CAPACITACION</v>
      </c>
      <c r="H46" s="21"/>
      <c r="I46" s="21" t="str">
        <f t="shared" si="58"/>
        <v> </v>
      </c>
      <c r="J46" s="21"/>
      <c r="K46" s="21" t="str">
        <f>IF(G46="AGENTE",'Semana 1'!$J46+0.042,IF(G46="REDES",'Semana 1'!$J46+0.042,IF(G46="AGENTE RM",'Semana 1'!$J46+0.042,IF(G46="AGENTE APERTURA",'Semana 1'!$J46+0.021,IF(G46="AGENTE CIERRE",'Semana 1'!$J46+0.021," - ")))))</f>
        <v> - </v>
      </c>
      <c r="L46" s="21"/>
      <c r="M46" s="21" t="str">
        <f>IF(G46="AGENTE",'Semana 1'!$L46+0.014,IF(G46="REDES",'Semana 1'!$L46+0.014,IF(G46="AGENTE RM",'Semana 1'!$L46+0.014,IF(G46="AGENTE APERTURA",'Semana 1'!$L46+0.014,IF(G46="AGENTE CIERRE",'Semana 1'!$L46+0.014," - ")))))</f>
        <v> - </v>
      </c>
      <c r="N46" s="21"/>
      <c r="O46" s="21" t="str">
        <f>IF(G46="AGENTE",'Semana 1'!$N46+0.007,IF(G46="REDES",'Semana 1'!$N46+0.007,IF(G46="AGENTE RM",'Semana 1'!$N46+0.007,IF(G46="AGENTE APERTURA",'Semana 1'!$N46+0.007,IF(G46="AGENTE CIERRE",'Semana 1'!$N46+0.007," - ")))))</f>
        <v> - </v>
      </c>
      <c r="P46" s="22" t="str">
        <f t="shared" si="2"/>
        <v>-1.0</v>
      </c>
      <c r="Q46" s="21"/>
      <c r="R46" s="21" t="str">
        <f t="shared" si="59"/>
        <v/>
      </c>
      <c r="S46" s="28"/>
      <c r="T46" s="28"/>
      <c r="U46" s="21"/>
      <c r="V46" s="21"/>
      <c r="W46" s="28"/>
      <c r="X46" s="28"/>
      <c r="Y46" s="22" t="str">
        <f t="shared" si="35"/>
        <v>0.0</v>
      </c>
      <c r="Z46" s="22" t="str">
        <f t="shared" ref="Z46:AC46" si="65">$P46</f>
        <v>-1.0</v>
      </c>
      <c r="AA46" s="22" t="str">
        <f t="shared" si="65"/>
        <v>-1.0</v>
      </c>
      <c r="AB46" s="22" t="str">
        <f t="shared" si="65"/>
        <v>-1.0</v>
      </c>
      <c r="AC46" s="22" t="str">
        <f t="shared" si="65"/>
        <v>-1.0</v>
      </c>
      <c r="AD46" s="23" t="str">
        <f t="shared" si="4"/>
        <v>-5</v>
      </c>
    </row>
    <row r="47" ht="15.75" customHeight="1">
      <c r="B47" s="18">
        <v>44.0</v>
      </c>
      <c r="C47" s="18" t="s">
        <v>38</v>
      </c>
      <c r="D47" s="19"/>
      <c r="E47" s="20" t="str">
        <f>Personal!G47</f>
        <v>Katherine Nicole Colmenares Véliz</v>
      </c>
      <c r="F47" s="20" t="s">
        <v>13</v>
      </c>
      <c r="G47" s="20" t="str">
        <f>Personal!H47</f>
        <v>CONTROL</v>
      </c>
      <c r="H47" s="24"/>
      <c r="I47" s="24" t="str">
        <f t="shared" si="58"/>
        <v> </v>
      </c>
      <c r="J47" s="24"/>
      <c r="K47" s="24" t="str">
        <f>IF(G47="AGENTE",'Semana 1'!$J47+0.042,IF(G47="REDES",'Semana 1'!$J47+0.042,IF(G47="AGENTE RM",'Semana 1'!$J47+0.042,IF(G47="AGENTE APERTURA",'Semana 1'!$J47+0.021,IF(G47="AGENTE CIERRE",'Semana 1'!$J47+0.021," - ")))))</f>
        <v> - </v>
      </c>
      <c r="L47" s="24"/>
      <c r="M47" s="24" t="str">
        <f>IF(G47="AGENTE",'Semana 1'!$L47+0.014,IF(G47="REDES",'Semana 1'!$L47+0.014,IF(G47="AGENTE RM",'Semana 1'!$L47+0.014,IF(G47="AGENTE APERTURA",'Semana 1'!$L47+0.014,IF(G47="AGENTE CIERRE",'Semana 1'!$L47+0.014," - ")))))</f>
        <v> - </v>
      </c>
      <c r="N47" s="24"/>
      <c r="O47" s="24" t="str">
        <f>IF(G47="AGENTE",'Semana 1'!$N47+0.007,IF(G47="REDES",'Semana 1'!$N47+0.007,IF(G47="AGENTE RM",'Semana 1'!$N47+0.007,IF(G47="AGENTE APERTURA",'Semana 1'!$N47+0.007,IF(G47="AGENTE CIERRE",'Semana 1'!$N47+0.007," - ")))))</f>
        <v> - </v>
      </c>
      <c r="P47" s="25" t="str">
        <f t="shared" si="2"/>
        <v>-1.0</v>
      </c>
      <c r="Q47" s="24"/>
      <c r="R47" s="24" t="str">
        <f t="shared" si="59"/>
        <v/>
      </c>
      <c r="S47" s="26"/>
      <c r="T47" s="26"/>
      <c r="U47" s="24"/>
      <c r="V47" s="24"/>
      <c r="W47" s="26"/>
      <c r="X47" s="26"/>
      <c r="Y47" s="25" t="str">
        <f t="shared" si="35"/>
        <v>0.0</v>
      </c>
      <c r="Z47" s="25" t="str">
        <f t="shared" ref="Z47:AC47" si="66">$P47</f>
        <v>-1.0</v>
      </c>
      <c r="AA47" s="25" t="str">
        <f t="shared" si="66"/>
        <v>-1.0</v>
      </c>
      <c r="AB47" s="25" t="str">
        <f t="shared" si="66"/>
        <v>-1.0</v>
      </c>
      <c r="AC47" s="25" t="str">
        <f t="shared" si="66"/>
        <v>-1.0</v>
      </c>
      <c r="AD47" s="27" t="str">
        <f t="shared" si="4"/>
        <v>-5</v>
      </c>
    </row>
    <row r="48" ht="15.75" customHeight="1">
      <c r="B48" s="18">
        <v>45.0</v>
      </c>
      <c r="C48" s="18" t="s">
        <v>38</v>
      </c>
      <c r="D48" s="19"/>
      <c r="E48" s="20" t="str">
        <f>Personal!G48</f>
        <v>Laptop</v>
      </c>
      <c r="F48" s="20" t="s">
        <v>13</v>
      </c>
      <c r="G48" s="20" t="str">
        <f>Personal!H48</f>
        <v>Lap</v>
      </c>
      <c r="H48" s="21"/>
      <c r="I48" s="21" t="str">
        <f t="shared" si="58"/>
        <v> </v>
      </c>
      <c r="J48" s="21"/>
      <c r="K48" s="21" t="str">
        <f>IF(G48="AGENTE",'Semana 1'!$J48+0.042,IF(G48="REDES",'Semana 1'!$J48+0.042,IF(G48="AGENTE RM",'Semana 1'!$J48+0.042,IF(G48="AGENTE APERTURA",'Semana 1'!$J48+0.021,IF(G48="AGENTE CIERRE",'Semana 1'!$J48+0.021," - ")))))</f>
        <v> - </v>
      </c>
      <c r="L48" s="21"/>
      <c r="M48" s="21" t="str">
        <f>IF(G48="AGENTE",'Semana 1'!$L48+0.014,IF(G48="REDES",'Semana 1'!$L48+0.014,IF(G48="AGENTE RM",'Semana 1'!$L48+0.014,IF(G48="AGENTE APERTURA",'Semana 1'!$L48+0.014,IF(G48="AGENTE CIERRE",'Semana 1'!$L48+0.014," - ")))))</f>
        <v> - </v>
      </c>
      <c r="N48" s="21"/>
      <c r="O48" s="21" t="str">
        <f>IF(G48="AGENTE",'Semana 1'!$N48+0.007,IF(G48="REDES",'Semana 1'!$N48+0.007,IF(G48="AGENTE RM",'Semana 1'!$N48+0.007,IF(G48="AGENTE APERTURA",'Semana 1'!$N48+0.007,IF(G48="AGENTE CIERRE",'Semana 1'!$N48+0.007," - ")))))</f>
        <v> - </v>
      </c>
      <c r="P48" s="22" t="str">
        <f t="shared" si="2"/>
        <v>-1.0</v>
      </c>
      <c r="Q48" s="21"/>
      <c r="R48" s="21" t="str">
        <f t="shared" si="59"/>
        <v/>
      </c>
      <c r="S48" s="21"/>
      <c r="T48" s="21"/>
      <c r="U48" s="21"/>
      <c r="V48" s="21" t="str">
        <f t="shared" ref="V48:V53" si="68">IF(U48=0,"",U48+0.021)</f>
        <v/>
      </c>
      <c r="W48" s="21"/>
      <c r="X48" s="21" t="str">
        <f t="shared" ref="X48:X49" si="69">IF(W48=0,"",W48+0.021)</f>
        <v/>
      </c>
      <c r="Y48" s="22" t="str">
        <f t="shared" si="35"/>
        <v>0.0</v>
      </c>
      <c r="Z48" s="22" t="str">
        <f t="shared" ref="Z48:AC48" si="67">$P48</f>
        <v>-1.0</v>
      </c>
      <c r="AA48" s="22" t="str">
        <f t="shared" si="67"/>
        <v>-1.0</v>
      </c>
      <c r="AB48" s="22" t="str">
        <f t="shared" si="67"/>
        <v>-1.0</v>
      </c>
      <c r="AC48" s="22" t="str">
        <f t="shared" si="67"/>
        <v>-1.0</v>
      </c>
      <c r="AD48" s="23" t="str">
        <f t="shared" si="4"/>
        <v>-5</v>
      </c>
    </row>
    <row r="49" ht="15.75" customHeight="1">
      <c r="B49" s="18">
        <v>46.0</v>
      </c>
      <c r="C49" s="18" t="s">
        <v>38</v>
      </c>
      <c r="D49" s="19"/>
      <c r="E49" s="20" t="str">
        <f>Personal!G49</f>
        <v>Yissa Julavy Aquino Garcia</v>
      </c>
      <c r="F49" s="20" t="s">
        <v>13</v>
      </c>
      <c r="G49" s="20" t="str">
        <f>Personal!H49</f>
        <v>AGENTE</v>
      </c>
      <c r="H49" s="24">
        <v>0.3333333333333333</v>
      </c>
      <c r="I49" s="24" t="str">
        <f t="shared" si="58"/>
        <v>17:00</v>
      </c>
      <c r="J49" s="24">
        <v>0.5</v>
      </c>
      <c r="K49" s="24" t="str">
        <f>IF(G49="AGENTE",'Semana 1'!$J49+0.042,IF(G49="REDES",'Semana 1'!$J49+0.042,IF(G49="AGENTE RM",'Semana 1'!$J49+0.042,IF(G49="AGENTE APERTURA",'Semana 1'!$J49+0.021,IF(G49="AGENTE CIERRE",'Semana 1'!$J49+0.021," - ")))))</f>
        <v>13:00</v>
      </c>
      <c r="L49" s="24">
        <v>0.3541666666666667</v>
      </c>
      <c r="M49" s="24" t="str">
        <f>IF(G49="AGENTE",'Semana 1'!$L49+0.014,IF(G49="REDES",'Semana 1'!$L49+0.014,IF(G49="AGENTE RM",'Semana 1'!$L49+0.014,IF(G49="AGENTE APERTURA",'Semana 1'!$L49+0.014,IF(G49="AGENTE CIERRE",'Semana 1'!$L49+0.014," - ")))))</f>
        <v>8:50</v>
      </c>
      <c r="N49" s="24">
        <v>0.6180555555555556</v>
      </c>
      <c r="O49" s="24" t="str">
        <f>IF(G49="AGENTE",'Semana 1'!$N49+0.007,IF(G49="REDES",'Semana 1'!$N49+0.007,IF(G49="AGENTE RM",'Semana 1'!$N49+0.007,IF(G49="AGENTE APERTURA",'Semana 1'!$N49+0.007,IF(G49="AGENTE CIERRE",'Semana 1'!$N49+0.007," - ")))))</f>
        <v>15:00</v>
      </c>
      <c r="P49" s="25" t="str">
        <f t="shared" si="2"/>
        <v>8.0</v>
      </c>
      <c r="Q49" s="24">
        <v>0.3333333333333333</v>
      </c>
      <c r="R49" s="24" t="str">
        <f t="shared" si="59"/>
        <v>13:00</v>
      </c>
      <c r="S49" s="26"/>
      <c r="T49" s="26"/>
      <c r="U49" s="24">
        <v>0.4583333333333333</v>
      </c>
      <c r="V49" s="24" t="str">
        <f t="shared" si="68"/>
        <v>11:30</v>
      </c>
      <c r="W49" s="26"/>
      <c r="X49" s="26" t="str">
        <f t="shared" si="69"/>
        <v/>
      </c>
      <c r="Y49" s="25" t="str">
        <f t="shared" si="35"/>
        <v>5.0</v>
      </c>
      <c r="Z49" s="25" t="str">
        <f t="shared" ref="Z49:AC49" si="70">$P49</f>
        <v>8.0</v>
      </c>
      <c r="AA49" s="25" t="str">
        <f t="shared" si="70"/>
        <v>8.0</v>
      </c>
      <c r="AB49" s="25" t="str">
        <f t="shared" si="70"/>
        <v>8.0</v>
      </c>
      <c r="AC49" s="25" t="str">
        <f t="shared" si="70"/>
        <v>8.0</v>
      </c>
      <c r="AD49" s="27" t="str">
        <f t="shared" si="4"/>
        <v>45</v>
      </c>
    </row>
    <row r="50" ht="15.75" customHeight="1">
      <c r="B50" s="18">
        <v>45.0</v>
      </c>
      <c r="C50" s="18" t="s">
        <v>39</v>
      </c>
      <c r="D50" s="19"/>
      <c r="E50" s="20" t="str">
        <f>Personal!G50</f>
        <v>-</v>
      </c>
      <c r="F50" s="20" t="s">
        <v>13</v>
      </c>
      <c r="G50" s="20" t="str">
        <f>Personal!H50</f>
        <v>-</v>
      </c>
      <c r="H50" s="21"/>
      <c r="I50" s="21" t="str">
        <f t="shared" si="58"/>
        <v> </v>
      </c>
      <c r="J50" s="21"/>
      <c r="K50" s="21" t="str">
        <f>IF(G50="AGENTE",'Semana 1'!$J50+0.042,IF(G50="REDES",'Semana 1'!$J50+0.042,IF(G50="AGENTE RM",'Semana 1'!$J50+0.042,IF(G50="AGENTE APERTURA",'Semana 1'!$J50+0.021,IF(G50="AGENTE CIERRE",'Semana 1'!$J50+0.021," - ")))))</f>
        <v> - </v>
      </c>
      <c r="L50" s="21"/>
      <c r="M50" s="21" t="str">
        <f>IF(G50="AGENTE",'Semana 1'!$L50+0.014,IF(G50="REDES",'Semana 1'!$L50+0.014,IF(G50="AGENTE RM",'Semana 1'!$L50+0.014,IF(G50="AGENTE APERTURA",'Semana 1'!$L50+0.014,IF(G50="AGENTE CIERRE",'Semana 1'!$L50+0.014," - ")))))</f>
        <v> - </v>
      </c>
      <c r="N50" s="21"/>
      <c r="O50" s="21" t="str">
        <f>IF(G50="AGENTE",'Semana 1'!$N50+0.007,IF(G50="REDES",'Semana 1'!$N50+0.007,IF(G50="AGENTE RM",'Semana 1'!$N50+0.007,IF(G50="AGENTE APERTURA",'Semana 1'!$N50+0.007,IF(G50="AGENTE CIERRE",'Semana 1'!$N50+0.007," - ")))))</f>
        <v> - </v>
      </c>
      <c r="P50" s="22" t="str">
        <f t="shared" si="2"/>
        <v>-1.0</v>
      </c>
      <c r="Q50" s="21"/>
      <c r="R50" s="21" t="str">
        <f t="shared" si="59"/>
        <v/>
      </c>
      <c r="S50" s="28"/>
      <c r="T50" s="28"/>
      <c r="U50" s="21"/>
      <c r="V50" s="21" t="str">
        <f t="shared" si="68"/>
        <v/>
      </c>
      <c r="W50" s="28"/>
      <c r="X50" s="28"/>
      <c r="Y50" s="22" t="str">
        <f t="shared" si="35"/>
        <v>0.0</v>
      </c>
      <c r="Z50" s="22" t="str">
        <f t="shared" ref="Z50:AC50" si="71">$P50</f>
        <v>-1.0</v>
      </c>
      <c r="AA50" s="22" t="str">
        <f t="shared" si="71"/>
        <v>-1.0</v>
      </c>
      <c r="AB50" s="22" t="str">
        <f t="shared" si="71"/>
        <v>-1.0</v>
      </c>
      <c r="AC50" s="22" t="str">
        <f t="shared" si="71"/>
        <v>-1.0</v>
      </c>
      <c r="AD50" s="23" t="str">
        <f t="shared" si="4"/>
        <v>-5</v>
      </c>
    </row>
    <row r="51" ht="15.75" customHeight="1">
      <c r="B51" s="18">
        <v>46.0</v>
      </c>
      <c r="C51" s="18" t="s">
        <v>39</v>
      </c>
      <c r="D51" s="19"/>
      <c r="E51" s="20" t="str">
        <f>Personal!G51</f>
        <v>-</v>
      </c>
      <c r="F51" s="20" t="s">
        <v>13</v>
      </c>
      <c r="G51" s="20" t="str">
        <f>Personal!H51</f>
        <v>-</v>
      </c>
      <c r="H51" s="24"/>
      <c r="I51" s="24" t="str">
        <f t="shared" si="58"/>
        <v> </v>
      </c>
      <c r="J51" s="24"/>
      <c r="K51" s="24" t="str">
        <f>IF(G51="AGENTE",'Semana 1'!$J51+0.042,IF(G51="REDES",'Semana 1'!$J51+0.042,IF(G51="AGENTE RM",'Semana 1'!$J51+0.042,IF(G51="AGENTE APERTURA",'Semana 1'!$J51+0.021,IF(G51="AGENTE CIERRE",'Semana 1'!$J51+0.021," - ")))))</f>
        <v> - </v>
      </c>
      <c r="L51" s="24"/>
      <c r="M51" s="24" t="str">
        <f>IF(G51="AGENTE",'Semana 1'!$L51+0.014,IF(G51="REDES",'Semana 1'!$L51+0.014,IF(G51="AGENTE RM",'Semana 1'!$L51+0.014,IF(G51="AGENTE APERTURA",'Semana 1'!$L51+0.014,IF(G51="AGENTE CIERRE",'Semana 1'!$L51+0.014," - ")))))</f>
        <v> - </v>
      </c>
      <c r="N51" s="24"/>
      <c r="O51" s="24" t="str">
        <f>IF(G51="AGENTE",'Semana 1'!$N51+0.007,IF(G51="REDES",'Semana 1'!$N51+0.007,IF(G51="AGENTE RM",'Semana 1'!$N51+0.007,IF(G51="AGENTE APERTURA",'Semana 1'!$N51+0.007,IF(G51="AGENTE CIERRE",'Semana 1'!$N51+0.007," - ")))))</f>
        <v> - </v>
      </c>
      <c r="P51" s="25" t="str">
        <f t="shared" si="2"/>
        <v>-1.0</v>
      </c>
      <c r="Q51" s="24"/>
      <c r="R51" s="24" t="str">
        <f t="shared" si="59"/>
        <v/>
      </c>
      <c r="S51" s="26"/>
      <c r="T51" s="26"/>
      <c r="U51" s="24"/>
      <c r="V51" s="24" t="str">
        <f t="shared" si="68"/>
        <v/>
      </c>
      <c r="W51" s="26"/>
      <c r="X51" s="26"/>
      <c r="Y51" s="25" t="str">
        <f t="shared" si="35"/>
        <v>0.0</v>
      </c>
      <c r="Z51" s="25" t="str">
        <f t="shared" ref="Z51:AC51" si="72">$P51</f>
        <v>-1.0</v>
      </c>
      <c r="AA51" s="25" t="str">
        <f t="shared" si="72"/>
        <v>-1.0</v>
      </c>
      <c r="AB51" s="25" t="str">
        <f t="shared" si="72"/>
        <v>-1.0</v>
      </c>
      <c r="AC51" s="25" t="str">
        <f t="shared" si="72"/>
        <v>-1.0</v>
      </c>
      <c r="AD51" s="27" t="str">
        <f t="shared" si="4"/>
        <v>-5</v>
      </c>
    </row>
    <row r="52" ht="15.75" customHeight="1">
      <c r="B52" s="18">
        <v>50.0</v>
      </c>
      <c r="C52" s="18" t="s">
        <v>38</v>
      </c>
      <c r="D52" s="19"/>
      <c r="E52" s="20" t="str">
        <f>Personal!G52</f>
        <v>Karla Isabel Herandez Rivas</v>
      </c>
      <c r="F52" s="20" t="s">
        <v>13</v>
      </c>
      <c r="G52" s="20" t="str">
        <f>Personal!H52</f>
        <v>SOPORTE</v>
      </c>
      <c r="H52" s="21"/>
      <c r="I52" s="21" t="str">
        <f t="shared" si="58"/>
        <v> </v>
      </c>
      <c r="J52" s="21"/>
      <c r="K52" s="21" t="str">
        <f>IF(G52="AGENTE",'Semana 1'!$J52+0.042,IF(G52="REDES",'Semana 1'!$J52+0.042,IF(G52="AGENTE RM",'Semana 1'!$J52+0.042,IF(G52="AGENTE APERTURA",'Semana 1'!$J52+0.021,IF(G52="AGENTE CIERRE",'Semana 1'!$J52+0.021," - ")))))</f>
        <v> - </v>
      </c>
      <c r="L52" s="21"/>
      <c r="M52" s="21" t="str">
        <f>IF(G52="AGENTE",'Semana 1'!$L52+0.014,IF(G52="REDES",'Semana 1'!$L52+0.014,IF(G52="AGENTE RM",'Semana 1'!$L52+0.014,IF(G52="AGENTE APERTURA",'Semana 1'!$L52+0.014,IF(G52="AGENTE CIERRE",'Semana 1'!$L52+0.014," - ")))))</f>
        <v> - </v>
      </c>
      <c r="N52" s="21"/>
      <c r="O52" s="21" t="str">
        <f>IF(G52="AGENTE",'Semana 1'!$N52+0.007,IF(G52="REDES",'Semana 1'!$N52+0.007,IF(G52="AGENTE RM",'Semana 1'!$N52+0.007,IF(G52="AGENTE APERTURA",'Semana 1'!$N52+0.007,IF(G52="AGENTE CIERRE",'Semana 1'!$N52+0.007," - ")))))</f>
        <v> - </v>
      </c>
      <c r="P52" s="22" t="str">
        <f t="shared" si="2"/>
        <v>-1.0</v>
      </c>
      <c r="Q52" s="21"/>
      <c r="R52" s="21" t="str">
        <f t="shared" si="59"/>
        <v/>
      </c>
      <c r="S52" s="28"/>
      <c r="T52" s="28"/>
      <c r="U52" s="21"/>
      <c r="V52" s="21" t="str">
        <f t="shared" si="68"/>
        <v/>
      </c>
      <c r="W52" s="28"/>
      <c r="X52" s="28"/>
      <c r="Y52" s="22" t="str">
        <f t="shared" si="35"/>
        <v>0.0</v>
      </c>
      <c r="Z52" s="22" t="str">
        <f t="shared" ref="Z52:AC52" si="73">$P52</f>
        <v>-1.0</v>
      </c>
      <c r="AA52" s="22" t="str">
        <f t="shared" si="73"/>
        <v>-1.0</v>
      </c>
      <c r="AB52" s="22" t="str">
        <f t="shared" si="73"/>
        <v>-1.0</v>
      </c>
      <c r="AC52" s="22" t="str">
        <f t="shared" si="73"/>
        <v>-1.0</v>
      </c>
      <c r="AD52" s="23" t="str">
        <f t="shared" si="4"/>
        <v>-5</v>
      </c>
    </row>
    <row r="53" ht="15.75" customHeight="1">
      <c r="B53" s="18">
        <v>51.0</v>
      </c>
      <c r="C53" s="18" t="s">
        <v>38</v>
      </c>
      <c r="D53" s="19"/>
      <c r="E53" s="20" t="str">
        <f>Personal!G53</f>
        <v>Anthony Stiven Yocute Aragon</v>
      </c>
      <c r="F53" s="20" t="s">
        <v>13</v>
      </c>
      <c r="G53" s="20" t="str">
        <f>Personal!H53</f>
        <v>AGENTE</v>
      </c>
      <c r="H53" s="24">
        <v>0.2708333333333333</v>
      </c>
      <c r="I53" s="24" t="str">
        <f t="shared" si="58"/>
        <v>15:30</v>
      </c>
      <c r="J53" s="24">
        <v>0.5416666666666666</v>
      </c>
      <c r="K53" s="24" t="str">
        <f>IF(G53="AGENTE",'Semana 1'!$J53+0.042,IF(G53="REDES",'Semana 1'!$J53+0.042,IF(G53="AGENTE RM",'Semana 1'!$J53+0.042,IF(G53="AGENTE APERTURA",'Semana 1'!$J53+0.021,IF(G53="AGENTE CIERRE",'Semana 1'!$J53+0.021," - ")))))</f>
        <v>14:00</v>
      </c>
      <c r="L53" s="24">
        <v>0.3958333333333333</v>
      </c>
      <c r="M53" s="24" t="str">
        <f>IF(G53="AGENTE",'Semana 1'!$L53+0.014,IF(G53="REDES",'Semana 1'!$L53+0.014,IF(G53="AGENTE RM",'Semana 1'!$L53+0.014,IF(G53="AGENTE APERTURA",'Semana 1'!$L53+0.014,IF(G53="AGENTE CIERRE",'Semana 1'!$L53+0.014," - ")))))</f>
        <v>9:50</v>
      </c>
      <c r="N53" s="24">
        <v>0.6041666666666666</v>
      </c>
      <c r="O53" s="24" t="str">
        <f>IF(G53="AGENTE",'Semana 1'!$N53+0.007,IF(G53="REDES",'Semana 1'!$N53+0.007,IF(G53="AGENTE RM",'Semana 1'!$N53+0.007,IF(G53="AGENTE APERTURA",'Semana 1'!$N53+0.007,IF(G53="AGENTE CIERRE",'Semana 1'!$N53+0.007," - ")))))</f>
        <v>14:40</v>
      </c>
      <c r="P53" s="25" t="str">
        <f t="shared" si="2"/>
        <v>8.0</v>
      </c>
      <c r="Q53" s="24">
        <v>0.2916666666666667</v>
      </c>
      <c r="R53" s="24" t="str">
        <f t="shared" si="59"/>
        <v>12:00</v>
      </c>
      <c r="S53" s="26"/>
      <c r="T53" s="26"/>
      <c r="U53" s="24">
        <v>0.375</v>
      </c>
      <c r="V53" s="24" t="str">
        <f t="shared" si="68"/>
        <v>9:30</v>
      </c>
      <c r="W53" s="26"/>
      <c r="X53" s="26"/>
      <c r="Y53" s="25" t="str">
        <f t="shared" si="35"/>
        <v>5.0</v>
      </c>
      <c r="Z53" s="25" t="str">
        <f t="shared" ref="Z53:AC53" si="74">$P53</f>
        <v>8.0</v>
      </c>
      <c r="AA53" s="25" t="str">
        <f t="shared" si="74"/>
        <v>8.0</v>
      </c>
      <c r="AB53" s="25" t="str">
        <f t="shared" si="74"/>
        <v>8.0</v>
      </c>
      <c r="AC53" s="25" t="str">
        <f t="shared" si="74"/>
        <v>8.0</v>
      </c>
      <c r="AD53" s="27" t="str">
        <f t="shared" si="4"/>
        <v>45</v>
      </c>
    </row>
    <row r="54" ht="15.75" customHeight="1">
      <c r="B54" s="18">
        <v>52.0</v>
      </c>
      <c r="C54" s="18" t="s">
        <v>38</v>
      </c>
      <c r="D54" s="19"/>
      <c r="E54" s="20" t="str">
        <f>Personal!G54</f>
        <v>Daylin Paulette Quiroa Quiroa</v>
      </c>
      <c r="F54" s="20" t="s">
        <v>13</v>
      </c>
      <c r="G54" s="20" t="str">
        <f>Personal!H54</f>
        <v>AGENTE CIERRE</v>
      </c>
      <c r="H54" s="21">
        <v>0.7083333333333334</v>
      </c>
      <c r="I54" s="21">
        <v>1.0</v>
      </c>
      <c r="J54" s="21">
        <v>0.8333333333333334</v>
      </c>
      <c r="K54" s="21" t="str">
        <f>IF(G54="AGENTE",'Semana 1'!$J54+0.042,IF(G54="REDES",'Semana 1'!$J54+0.042,IF(G54="AGENTE RM",'Semana 1'!$J54+0.042,IF(G54="AGENTE APERTURA",'Semana 1'!$J54+0.021,IF(G54="AGENTE CIERRE",'Semana 1'!$J54+0.021," - ")))))</f>
        <v>20:30</v>
      </c>
      <c r="L54" s="21">
        <v>0.8541666666666666</v>
      </c>
      <c r="M54" s="21" t="str">
        <f>IF(G54="AGENTE",'Semana 1'!$L54+0.014,IF(G54="REDES",'Semana 1'!$L54+0.014,IF(G54="AGENTE RM",'Semana 1'!$L54+0.014,IF(G54="AGENTE APERTURA",'Semana 1'!$L54+0.014,IF(G54="AGENTE CIERRE",'Semana 1'!$L54+0.014," - ")))))</f>
        <v>20:50</v>
      </c>
      <c r="N54" s="21">
        <v>0.8680555555555555</v>
      </c>
      <c r="O54" s="21" t="str">
        <f>IF(G54="AGENTE",'Semana 1'!$N54+0.007,IF(G54="REDES",'Semana 1'!$N54+0.007,IF(G54="AGENTE RM",'Semana 1'!$N54+0.007,IF(G54="AGENTE APERTURA",'Semana 1'!$N54+0.007,IF(G54="AGENTE CIERRE",'Semana 1'!$N54+0.007," - ")))))</f>
        <v>21:00</v>
      </c>
      <c r="P54" s="22" t="str">
        <f t="shared" si="2"/>
        <v>6.0</v>
      </c>
      <c r="Q54" s="21">
        <v>0.7083333333333334</v>
      </c>
      <c r="R54" s="21">
        <v>1.0</v>
      </c>
      <c r="S54" s="21">
        <v>0.8333333333333334</v>
      </c>
      <c r="T54" s="21">
        <v>0.8543333333333334</v>
      </c>
      <c r="U54" s="21">
        <v>0.8541666666666666</v>
      </c>
      <c r="V54" s="21">
        <v>0.8681666666666666</v>
      </c>
      <c r="W54" s="21">
        <v>0.8680555555555555</v>
      </c>
      <c r="X54" s="21">
        <v>0.8750555555555555</v>
      </c>
      <c r="Y54" s="22" t="str">
        <f>(IFERROR(R54-Q54,0)*24)-1</f>
        <v>6.0</v>
      </c>
      <c r="Z54" s="22" t="str">
        <f t="shared" ref="Z54:AC54" si="75">$P54</f>
        <v>6.0</v>
      </c>
      <c r="AA54" s="22" t="str">
        <f t="shared" si="75"/>
        <v>6.0</v>
      </c>
      <c r="AB54" s="22" t="str">
        <f t="shared" si="75"/>
        <v>6.0</v>
      </c>
      <c r="AC54" s="22" t="str">
        <f t="shared" si="75"/>
        <v>6.0</v>
      </c>
      <c r="AD54" s="23" t="str">
        <f t="shared" si="4"/>
        <v>36</v>
      </c>
    </row>
    <row r="55" ht="15.75" customHeight="1">
      <c r="B55" s="18">
        <v>53.0</v>
      </c>
      <c r="C55" s="18" t="s">
        <v>38</v>
      </c>
      <c r="D55" s="19"/>
      <c r="E55" s="20" t="str">
        <f>Personal!G55</f>
        <v>-</v>
      </c>
      <c r="F55" s="20" t="s">
        <v>13</v>
      </c>
      <c r="G55" s="20" t="s">
        <v>41</v>
      </c>
      <c r="H55" s="24"/>
      <c r="I55" s="24" t="str">
        <f t="shared" ref="I55:I64" si="77">IF(H55=0," ",IF(Q55=0,(H55+0.417),(H55+0.3756)))</f>
        <v> </v>
      </c>
      <c r="J55" s="24"/>
      <c r="K55" s="24" t="str">
        <f>IF(G55="AGENTE",'Semana 1'!$J55+0.042,IF(G55="REDES",'Semana 1'!$J55+0.042,IF(G55="AGENTE RM",'Semana 1'!$J55+0.042,IF(G55="AGENTE APERTURA",'Semana 1'!$J55+0.021,IF(G55="AGENTE CIERRE",'Semana 1'!$J55+0.021," - ")))))</f>
        <v> - </v>
      </c>
      <c r="L55" s="24"/>
      <c r="M55" s="24" t="str">
        <f>IF(G55="AGENTE",'Semana 1'!$L55+0.014,IF(G55="REDES",'Semana 1'!$L55+0.014,IF(G55="AGENTE RM",'Semana 1'!$L55+0.014,IF(G55="AGENTE APERTURA",'Semana 1'!$L55+0.014,IF(G55="AGENTE CIERRE",'Semana 1'!$L55+0.014," - ")))))</f>
        <v> - </v>
      </c>
      <c r="N55" s="24"/>
      <c r="O55" s="24" t="str">
        <f>IF(G55="AGENTE",'Semana 1'!$N55+0.007,IF(G55="REDES",'Semana 1'!$N55+0.007,IF(G55="AGENTE RM",'Semana 1'!$N55+0.007,IF(G55="AGENTE APERTURA",'Semana 1'!$N55+0.007,IF(G55="AGENTE CIERRE",'Semana 1'!$N55+0.007," - ")))))</f>
        <v> - </v>
      </c>
      <c r="P55" s="25" t="str">
        <f t="shared" si="2"/>
        <v>-1.0</v>
      </c>
      <c r="Q55" s="24"/>
      <c r="R55" s="24" t="str">
        <f t="shared" ref="R55:R63" si="78">IF(Q55=0,"",Q55+0.209)</f>
        <v/>
      </c>
      <c r="S55" s="26"/>
      <c r="T55" s="26" t="str">
        <f>IF(G55="AGENTE",'Semana 1'!$S55+0.042,IF(G55="REDES",'Semana 1'!$S55+0.042,IF(G55="AGENTE RM",'Semana 1'!$S55+0.042,IF(G55="AGENTE APERTURA",'Semana 1'!$S55+0.021,IF(G55="AGENTE CIERRE",'Semana 1'!$S55+0.021," - ")))))</f>
        <v> - </v>
      </c>
      <c r="U55" s="24"/>
      <c r="V55" s="24" t="str">
        <f t="shared" ref="V55:V64" si="79">IF(U55=0,"",U55+0.021)</f>
        <v/>
      </c>
      <c r="W55" s="26"/>
      <c r="X55" s="26"/>
      <c r="Y55" s="25" t="str">
        <f t="shared" ref="Y55:Y67" si="80">(IFERROR(R55-Q55,0)*24)</f>
        <v>0.0</v>
      </c>
      <c r="Z55" s="25" t="str">
        <f t="shared" ref="Z55:AC55" si="76">$P55</f>
        <v>-1.0</v>
      </c>
      <c r="AA55" s="25" t="str">
        <f t="shared" si="76"/>
        <v>-1.0</v>
      </c>
      <c r="AB55" s="25" t="str">
        <f t="shared" si="76"/>
        <v>-1.0</v>
      </c>
      <c r="AC55" s="25" t="str">
        <f t="shared" si="76"/>
        <v>-1.0</v>
      </c>
      <c r="AD55" s="27" t="str">
        <f t="shared" si="4"/>
        <v>-5</v>
      </c>
    </row>
    <row r="56" ht="15.75" customHeight="1">
      <c r="B56" s="18">
        <v>54.0</v>
      </c>
      <c r="C56" s="18" t="s">
        <v>38</v>
      </c>
      <c r="D56" s="19"/>
      <c r="E56" s="20" t="str">
        <f>Personal!G56</f>
        <v>Nora Azucena Sanchez Rodriguez</v>
      </c>
      <c r="F56" s="20" t="s">
        <v>13</v>
      </c>
      <c r="G56" s="20" t="str">
        <f>Personal!H56</f>
        <v>AGENTE</v>
      </c>
      <c r="H56" s="21">
        <v>0.2916666666666667</v>
      </c>
      <c r="I56" s="21" t="str">
        <f t="shared" si="77"/>
        <v>16:00</v>
      </c>
      <c r="J56" s="21">
        <v>0.5208333333333334</v>
      </c>
      <c r="K56" s="21" t="str">
        <f>IF(G56="AGENTE",'Semana 1'!$J56+0.042,IF(G56="REDES",'Semana 1'!$J56+0.042,IF(G56="AGENTE RM",'Semana 1'!$J56+0.042,IF(G56="AGENTE APERTURA",'Semana 1'!$J56+0.021,IF(G56="AGENTE CIERRE",'Semana 1'!$J56+0.021," - ")))))</f>
        <v>13:30</v>
      </c>
      <c r="L56" s="21">
        <v>0.3541666666666667</v>
      </c>
      <c r="M56" s="21" t="str">
        <f>IF(G56="AGENTE",'Semana 1'!$L56+0.014,IF(G56="REDES",'Semana 1'!$L56+0.014,IF(G56="AGENTE RM",'Semana 1'!$L56+0.014,IF(G56="AGENTE APERTURA",'Semana 1'!$L56+0.014,IF(G56="AGENTE CIERRE",'Semana 1'!$L56+0.014," - ")))))</f>
        <v>8:50</v>
      </c>
      <c r="N56" s="21">
        <v>0.65625</v>
      </c>
      <c r="O56" s="21" t="str">
        <f>IF(G56="AGENTE",'Semana 1'!$N56+0.007,IF(G56="REDES",'Semana 1'!$N56+0.007,IF(G56="AGENTE RM",'Semana 1'!$N56+0.007,IF(G56="AGENTE APERTURA",'Semana 1'!$N56+0.007,IF(G56="AGENTE CIERRE",'Semana 1'!$N56+0.007," - ")))))</f>
        <v>15:55</v>
      </c>
      <c r="P56" s="22" t="str">
        <f t="shared" si="2"/>
        <v>8.0</v>
      </c>
      <c r="Q56" s="21">
        <v>0.4166666666666667</v>
      </c>
      <c r="R56" s="21" t="str">
        <f t="shared" si="78"/>
        <v>15:00</v>
      </c>
      <c r="S56" s="28"/>
      <c r="T56" s="28"/>
      <c r="U56" s="21">
        <v>0.5625</v>
      </c>
      <c r="V56" s="21" t="str">
        <f t="shared" si="79"/>
        <v>14:00</v>
      </c>
      <c r="W56" s="28"/>
      <c r="X56" s="28"/>
      <c r="Y56" s="22" t="str">
        <f t="shared" si="80"/>
        <v>5.0</v>
      </c>
      <c r="Z56" s="22" t="str">
        <f t="shared" ref="Z56:AC56" si="81">$P56</f>
        <v>8.0</v>
      </c>
      <c r="AA56" s="22" t="str">
        <f t="shared" si="81"/>
        <v>8.0</v>
      </c>
      <c r="AB56" s="22" t="str">
        <f t="shared" si="81"/>
        <v>8.0</v>
      </c>
      <c r="AC56" s="22" t="str">
        <f t="shared" si="81"/>
        <v>8.0</v>
      </c>
      <c r="AD56" s="23" t="str">
        <f t="shared" si="4"/>
        <v>45</v>
      </c>
    </row>
    <row r="57" ht="15.75" customHeight="1">
      <c r="B57" s="18">
        <v>55.0</v>
      </c>
      <c r="C57" s="18" t="s">
        <v>38</v>
      </c>
      <c r="D57" s="19"/>
      <c r="E57" s="20" t="str">
        <f>Personal!G57</f>
        <v>Dorian Estefany Sit Santos</v>
      </c>
      <c r="F57" s="20" t="s">
        <v>13</v>
      </c>
      <c r="G57" s="20" t="str">
        <f>Personal!H57</f>
        <v>AGENTE RM</v>
      </c>
      <c r="H57" s="24">
        <v>0.3541666666666667</v>
      </c>
      <c r="I57" s="24" t="str">
        <f t="shared" si="77"/>
        <v>17:30</v>
      </c>
      <c r="J57" s="24">
        <v>0.5833333333333334</v>
      </c>
      <c r="K57" s="24" t="str">
        <f>IF(G57="AGENTE",'Semana 1'!$J57+0.042,IF(G57="REDES",'Semana 1'!$J57+0.042,IF(G57="AGENTE RM",'Semana 1'!$J57+0.042,IF(G57="AGENTE APERTURA",'Semana 1'!$J57+0.021,IF(G57="AGENTE CIERRE",'Semana 1'!$J57+0.021," - ")))))</f>
        <v>15:00</v>
      </c>
      <c r="L57" s="24">
        <v>0.40277777777777773</v>
      </c>
      <c r="M57" s="24" t="str">
        <f>IF(G57="AGENTE",'Semana 1'!$L57+0.014,IF(G57="REDES",'Semana 1'!$L57+0.014,IF(G57="AGENTE RM",'Semana 1'!$L57+0.014,IF(G57="AGENTE APERTURA",'Semana 1'!$L57+0.014,IF(G57="AGENTE CIERRE",'Semana 1'!$L57+0.014," - ")))))</f>
        <v>10:00</v>
      </c>
      <c r="N57" s="24">
        <v>0.6458333333333334</v>
      </c>
      <c r="O57" s="24" t="str">
        <f>IF(G57="AGENTE",'Semana 1'!$N57+0.007,IF(G57="REDES",'Semana 1'!$N57+0.007,IF(G57="AGENTE RM",'Semana 1'!$N57+0.007,IF(G57="AGENTE APERTURA",'Semana 1'!$N57+0.007,IF(G57="AGENTE CIERRE",'Semana 1'!$N57+0.007," - ")))))</f>
        <v>15:40</v>
      </c>
      <c r="P57" s="25" t="str">
        <f t="shared" si="2"/>
        <v>8.0</v>
      </c>
      <c r="Q57" s="24">
        <v>0.3333333333333333</v>
      </c>
      <c r="R57" s="24" t="str">
        <f t="shared" si="78"/>
        <v>13:00</v>
      </c>
      <c r="S57" s="26"/>
      <c r="T57" s="26"/>
      <c r="U57" s="24">
        <v>0.375</v>
      </c>
      <c r="V57" s="24" t="str">
        <f t="shared" si="79"/>
        <v>9:30</v>
      </c>
      <c r="W57" s="26"/>
      <c r="X57" s="26"/>
      <c r="Y57" s="25" t="str">
        <f t="shared" si="80"/>
        <v>5.0</v>
      </c>
      <c r="Z57" s="25" t="str">
        <f t="shared" ref="Z57:AC57" si="82">$P57</f>
        <v>8.0</v>
      </c>
      <c r="AA57" s="25" t="str">
        <f t="shared" si="82"/>
        <v>8.0</v>
      </c>
      <c r="AB57" s="25" t="str">
        <f t="shared" si="82"/>
        <v>8.0</v>
      </c>
      <c r="AC57" s="25" t="str">
        <f t="shared" si="82"/>
        <v>8.0</v>
      </c>
      <c r="AD57" s="27" t="str">
        <f t="shared" si="4"/>
        <v>45</v>
      </c>
    </row>
    <row r="58" ht="15.75" customHeight="1">
      <c r="B58" s="18">
        <v>56.0</v>
      </c>
      <c r="C58" s="18" t="s">
        <v>38</v>
      </c>
      <c r="D58" s="19"/>
      <c r="E58" s="20" t="str">
        <f>Personal!G58</f>
        <v>Benjamin Max Israel Boc Vicente</v>
      </c>
      <c r="F58" s="20" t="s">
        <v>13</v>
      </c>
      <c r="G58" s="20" t="str">
        <f>Personal!H58</f>
        <v>AGENTE</v>
      </c>
      <c r="H58" s="21">
        <v>0.3333333333333333</v>
      </c>
      <c r="I58" s="21" t="str">
        <f t="shared" si="77"/>
        <v>17:00</v>
      </c>
      <c r="J58" s="21">
        <v>0.625</v>
      </c>
      <c r="K58" s="21" t="str">
        <f>IF(G58="AGENTE",'Semana 1'!$J58+0.042,IF(G58="REDES",'Semana 1'!$J58+0.042,IF(G58="AGENTE RM",'Semana 1'!$J58+0.042,IF(G58="AGENTE APERTURA",'Semana 1'!$J58+0.021,IF(G58="AGENTE CIERRE",'Semana 1'!$J58+0.021," - ")))))</f>
        <v>16:00</v>
      </c>
      <c r="L58" s="21">
        <v>0.4166666666666667</v>
      </c>
      <c r="M58" s="21" t="str">
        <f>IF(G58="AGENTE",'Semana 1'!$L58+0.014,IF(G58="REDES",'Semana 1'!$L58+0.014,IF(G58="AGENTE RM",'Semana 1'!$L58+0.014,IF(G58="AGENTE APERTURA",'Semana 1'!$L58+0.014,IF(G58="AGENTE CIERRE",'Semana 1'!$L58+0.014," - ")))))</f>
        <v>10:20</v>
      </c>
      <c r="N58" s="21">
        <v>0.1875</v>
      </c>
      <c r="O58" s="21" t="str">
        <f>IF(G58="AGENTE",'Semana 1'!$N58+0.007,IF(G58="REDES",'Semana 1'!$N58+0.007,IF(G58="AGENTE RM",'Semana 1'!$N58+0.007,IF(G58="AGENTE APERTURA",'Semana 1'!$N58+0.007,IF(G58="AGENTE CIERRE",'Semana 1'!$N58+0.007," - ")))))</f>
        <v>4:40</v>
      </c>
      <c r="P58" s="22" t="str">
        <f t="shared" si="2"/>
        <v>8.0</v>
      </c>
      <c r="Q58" s="21">
        <v>0.3333333333333333</v>
      </c>
      <c r="R58" s="21" t="str">
        <f t="shared" si="78"/>
        <v>13:00</v>
      </c>
      <c r="S58" s="21"/>
      <c r="T58" s="21"/>
      <c r="U58" s="21">
        <v>0.3541666666666667</v>
      </c>
      <c r="V58" s="21" t="str">
        <f t="shared" si="79"/>
        <v>9:00</v>
      </c>
      <c r="W58" s="21"/>
      <c r="X58" s="21"/>
      <c r="Y58" s="22" t="str">
        <f t="shared" si="80"/>
        <v>5.0</v>
      </c>
      <c r="Z58" s="22" t="str">
        <f t="shared" ref="Z58:AC58" si="83">$P58</f>
        <v>8.0</v>
      </c>
      <c r="AA58" s="22" t="str">
        <f t="shared" si="83"/>
        <v>8.0</v>
      </c>
      <c r="AB58" s="22" t="str">
        <f t="shared" si="83"/>
        <v>8.0</v>
      </c>
      <c r="AC58" s="22" t="str">
        <f t="shared" si="83"/>
        <v>8.0</v>
      </c>
      <c r="AD58" s="23" t="str">
        <f t="shared" si="4"/>
        <v>45</v>
      </c>
    </row>
    <row r="59" ht="15.75" customHeight="1">
      <c r="B59" s="18">
        <v>57.0</v>
      </c>
      <c r="C59" s="18" t="s">
        <v>38</v>
      </c>
      <c r="D59" s="19"/>
      <c r="E59" s="20" t="str">
        <f>Personal!G59</f>
        <v>Ventura Glenda Paola Echeveria Perez</v>
      </c>
      <c r="F59" s="20"/>
      <c r="G59" s="20" t="str">
        <f>Personal!H59</f>
        <v>AGENTE RM</v>
      </c>
      <c r="H59" s="24">
        <v>0.3333333333333333</v>
      </c>
      <c r="I59" s="24" t="str">
        <f t="shared" si="77"/>
        <v>17:00</v>
      </c>
      <c r="J59" s="24">
        <v>0.5416666666666666</v>
      </c>
      <c r="K59" s="24" t="str">
        <f>IF(G59="AGENTE",'Semana 1'!$J59+0.042,IF(G59="REDES",'Semana 1'!$J59+0.042,IF(G59="AGENTE RM",'Semana 1'!$J59+0.042,IF(G59="AGENTE APERTURA",'Semana 1'!$J59+0.021,IF(G59="AGENTE CIERRE",'Semana 1'!$J59+0.021," - ")))))</f>
        <v>14:00</v>
      </c>
      <c r="L59" s="24">
        <v>0.3854166666666667</v>
      </c>
      <c r="M59" s="24" t="str">
        <f>IF(G59="AGENTE",'Semana 1'!$L59+0.014,IF(G59="REDES",'Semana 1'!$L59+0.014,IF(G59="AGENTE RM",'Semana 1'!$L59+0.014,IF(G59="AGENTE APERTURA",'Semana 1'!$L59+0.014,IF(G59="AGENTE CIERRE",'Semana 1'!$L59+0.014," - ")))))</f>
        <v>9:35</v>
      </c>
      <c r="N59" s="24">
        <v>0.6354166666666666</v>
      </c>
      <c r="O59" s="24" t="str">
        <f>IF(G59="AGENTE",'Semana 1'!$N59+0.007,IF(G59="REDES",'Semana 1'!$N59+0.007,IF(G59="AGENTE RM",'Semana 1'!$N59+0.007,IF(G59="AGENTE APERTURA",'Semana 1'!$N59+0.007,IF(G59="AGENTE CIERRE",'Semana 1'!$N59+0.007," - ")))))</f>
        <v>15:25</v>
      </c>
      <c r="P59" s="25" t="str">
        <f t="shared" si="2"/>
        <v>8.0</v>
      </c>
      <c r="Q59" s="24">
        <v>0.3333333333333333</v>
      </c>
      <c r="R59" s="24" t="str">
        <f t="shared" si="78"/>
        <v>13:00</v>
      </c>
      <c r="S59" s="24"/>
      <c r="T59" s="24"/>
      <c r="U59" s="24">
        <v>0.3958333333333333</v>
      </c>
      <c r="V59" s="24" t="str">
        <f t="shared" si="79"/>
        <v>10:00</v>
      </c>
      <c r="W59" s="24"/>
      <c r="X59" s="24"/>
      <c r="Y59" s="25" t="str">
        <f t="shared" si="80"/>
        <v>5.0</v>
      </c>
      <c r="Z59" s="25" t="str">
        <f t="shared" ref="Z59:AC59" si="84">$P59</f>
        <v>8.0</v>
      </c>
      <c r="AA59" s="25" t="str">
        <f t="shared" si="84"/>
        <v>8.0</v>
      </c>
      <c r="AB59" s="25" t="str">
        <f t="shared" si="84"/>
        <v>8.0</v>
      </c>
      <c r="AC59" s="25" t="str">
        <f t="shared" si="84"/>
        <v>8.0</v>
      </c>
      <c r="AD59" s="27" t="str">
        <f t="shared" si="4"/>
        <v>45</v>
      </c>
    </row>
    <row r="60" ht="15.75" customHeight="1">
      <c r="B60" s="18">
        <v>58.0</v>
      </c>
      <c r="C60" s="18" t="s">
        <v>38</v>
      </c>
      <c r="D60" s="19"/>
      <c r="E60" s="20" t="str">
        <f>Personal!G60</f>
        <v>Oscar Rene Ovalle Letran</v>
      </c>
      <c r="F60" s="20"/>
      <c r="G60" s="20" t="str">
        <f>Personal!H60</f>
        <v>SOPORTE</v>
      </c>
      <c r="H60" s="24"/>
      <c r="I60" s="24" t="str">
        <f t="shared" si="77"/>
        <v> </v>
      </c>
      <c r="J60" s="24"/>
      <c r="K60" s="24" t="str">
        <f>IF(G60="AGENTE",'Semana 1'!$J60+0.042,IF(G60="REDES",'Semana 1'!$J60+0.042,IF(G60="AGENTE RM",'Semana 1'!$J60+0.042,IF(G60="AGENTE APERTURA",'Semana 1'!$J60+0.021,IF(G60="AGENTE CIERRE",'Semana 1'!$J60+0.021," - ")))))</f>
        <v> - </v>
      </c>
      <c r="L60" s="24"/>
      <c r="M60" s="24" t="str">
        <f>IF(G60="AGENTE",'Semana 1'!$L60+0.014,IF(G60="REDES",'Semana 1'!$L60+0.014,IF(G60="AGENTE RM",'Semana 1'!$L60+0.014,IF(G60="AGENTE APERTURA",'Semana 1'!$L60+0.014,IF(G60="AGENTE CIERRE",'Semana 1'!$L60+0.014," - ")))))</f>
        <v> - </v>
      </c>
      <c r="N60" s="24"/>
      <c r="O60" s="24" t="str">
        <f>IF(G60="AGENTE",'Semana 1'!$N60+0.007,IF(G60="REDES",'Semana 1'!$N60+0.007,IF(G60="AGENTE RM",'Semana 1'!$N60+0.007,IF(G60="AGENTE APERTURA",'Semana 1'!$N60+0.007,IF(G60="AGENTE CIERRE",'Semana 1'!$N60+0.007," - ")))))</f>
        <v> - </v>
      </c>
      <c r="P60" s="25" t="str">
        <f t="shared" si="2"/>
        <v>-1.0</v>
      </c>
      <c r="Q60" s="24"/>
      <c r="R60" s="24" t="str">
        <f t="shared" si="78"/>
        <v/>
      </c>
      <c r="S60" s="24"/>
      <c r="T60" s="24" t="str">
        <f>IF(G60="AGENTE",'Semana 1'!$S60+0.042,IF(G60="REDES",'Semana 1'!$S60+0.042,IF(G60="AGENTE RM",'Semana 1'!$S60+0.042,IF(G60="AGENTE APERTURA",'Semana 1'!$S60+0.021,IF(G60="AGENTE CIERRE",'Semana 1'!$S60+0.021," - ")))))</f>
        <v> - </v>
      </c>
      <c r="U60" s="24"/>
      <c r="V60" s="24" t="str">
        <f t="shared" si="79"/>
        <v/>
      </c>
      <c r="W60" s="24"/>
      <c r="X60" s="24"/>
      <c r="Y60" s="25" t="str">
        <f t="shared" si="80"/>
        <v>0.0</v>
      </c>
      <c r="Z60" s="25" t="str">
        <f t="shared" ref="Z60:AC60" si="85">$P60</f>
        <v>-1.0</v>
      </c>
      <c r="AA60" s="25" t="str">
        <f t="shared" si="85"/>
        <v>-1.0</v>
      </c>
      <c r="AB60" s="25" t="str">
        <f t="shared" si="85"/>
        <v>-1.0</v>
      </c>
      <c r="AC60" s="25" t="str">
        <f t="shared" si="85"/>
        <v>-1.0</v>
      </c>
      <c r="AD60" s="23" t="str">
        <f t="shared" si="4"/>
        <v>-5</v>
      </c>
    </row>
    <row r="61" ht="15.75" customHeight="1">
      <c r="B61" s="18">
        <v>59.0</v>
      </c>
      <c r="C61" s="18" t="s">
        <v>38</v>
      </c>
      <c r="D61" s="19"/>
      <c r="E61" s="20" t="str">
        <f>Personal!G61</f>
        <v>Mariela Edith Torres Figueroa</v>
      </c>
      <c r="F61" s="20"/>
      <c r="G61" s="20" t="str">
        <f>Personal!H61</f>
        <v>AGENTE</v>
      </c>
      <c r="H61" s="24">
        <v>0.3333333333333333</v>
      </c>
      <c r="I61" s="24" t="str">
        <f t="shared" si="77"/>
        <v>17:00</v>
      </c>
      <c r="J61" s="24">
        <v>0.5</v>
      </c>
      <c r="K61" s="24" t="str">
        <f>IF(G61="AGENTE",'Semana 1'!$J61+0.042,IF(G61="REDES",'Semana 1'!$J61+0.042,IF(G61="AGENTE RM",'Semana 1'!$J61+0.042,IF(G61="AGENTE APERTURA",'Semana 1'!$J61+0.021,IF(G61="AGENTE CIERRE",'Semana 1'!$J61+0.021," - ")))))</f>
        <v>13:00</v>
      </c>
      <c r="L61" s="24">
        <v>0.3854166666666667</v>
      </c>
      <c r="M61" s="24" t="str">
        <f>IF(G61="AGENTE",'Semana 1'!$L61+0.014,IF(G61="REDES",'Semana 1'!$L61+0.014,IF(G61="AGENTE RM",'Semana 1'!$L61+0.014,IF(G61="AGENTE APERTURA",'Semana 1'!$L61+0.014,IF(G61="AGENTE CIERRE",'Semana 1'!$L61+0.014," - ")))))</f>
        <v>9:35</v>
      </c>
      <c r="N61" s="24">
        <v>0.71875</v>
      </c>
      <c r="O61" s="24" t="str">
        <f>IF(G61="AGENTE",'Semana 1'!$N61+0.007,IF(G61="REDES",'Semana 1'!$N61+0.007,IF(G61="AGENTE RM",'Semana 1'!$N61+0.007,IF(G61="AGENTE APERTURA",'Semana 1'!$N61+0.007,IF(G61="AGENTE CIERRE",'Semana 1'!$N61+0.007," - ")))))</f>
        <v>17:25</v>
      </c>
      <c r="P61" s="25" t="str">
        <f t="shared" si="2"/>
        <v>8.0</v>
      </c>
      <c r="Q61" s="24">
        <v>0.4166666666666667</v>
      </c>
      <c r="R61" s="24" t="str">
        <f t="shared" si="78"/>
        <v>15:00</v>
      </c>
      <c r="S61" s="24"/>
      <c r="T61" s="24"/>
      <c r="U61" s="24">
        <v>0.5</v>
      </c>
      <c r="V61" s="24" t="str">
        <f t="shared" si="79"/>
        <v>12:30</v>
      </c>
      <c r="W61" s="24"/>
      <c r="X61" s="24"/>
      <c r="Y61" s="25" t="str">
        <f t="shared" si="80"/>
        <v>5.0</v>
      </c>
      <c r="Z61" s="25" t="str">
        <f t="shared" ref="Z61:AC61" si="86">$P61</f>
        <v>8.0</v>
      </c>
      <c r="AA61" s="25" t="str">
        <f t="shared" si="86"/>
        <v>8.0</v>
      </c>
      <c r="AB61" s="25" t="str">
        <f t="shared" si="86"/>
        <v>8.0</v>
      </c>
      <c r="AC61" s="25" t="str">
        <f t="shared" si="86"/>
        <v>8.0</v>
      </c>
      <c r="AD61" s="27" t="str">
        <f t="shared" si="4"/>
        <v>45</v>
      </c>
    </row>
    <row r="62" ht="15.75" customHeight="1">
      <c r="B62" s="18">
        <v>60.0</v>
      </c>
      <c r="C62" s="18" t="s">
        <v>38</v>
      </c>
      <c r="D62" s="19"/>
      <c r="E62" s="20" t="str">
        <f>Personal!G62</f>
        <v>Marlyn Argentina Aguilar Lemus</v>
      </c>
      <c r="F62" s="20"/>
      <c r="G62" s="20" t="str">
        <f>Personal!H62</f>
        <v>AGENTE</v>
      </c>
      <c r="H62" s="24">
        <v>0.2708333333333333</v>
      </c>
      <c r="I62" s="24" t="str">
        <f t="shared" si="77"/>
        <v>15:30</v>
      </c>
      <c r="J62" s="24">
        <v>0.5</v>
      </c>
      <c r="K62" s="24" t="str">
        <f>IF(G62="AGENTE",'Semana 1'!$J62+0.042,IF(G62="REDES",'Semana 1'!$J62+0.042,IF(G62="AGENTE RM",'Semana 1'!$J62+0.042,IF(G62="AGENTE APERTURA",'Semana 1'!$J62+0.021,IF(G62="AGENTE CIERRE",'Semana 1'!$J62+0.021," - ")))))</f>
        <v>13:00</v>
      </c>
      <c r="L62" s="24">
        <v>0.3541666666666667</v>
      </c>
      <c r="M62" s="24" t="str">
        <f>IF(G62="AGENTE",'Semana 1'!$L62+0.014,IF(G62="REDES",'Semana 1'!$L62+0.014,IF(G62="AGENTE RM",'Semana 1'!$L62+0.014,IF(G62="AGENTE APERTURA",'Semana 1'!$L62+0.014,IF(G62="AGENTE CIERRE",'Semana 1'!$L62+0.014," - ")))))</f>
        <v>8:50</v>
      </c>
      <c r="N62" s="24">
        <v>0.65625</v>
      </c>
      <c r="O62" s="24" t="str">
        <f>IF(G62="AGENTE",'Semana 1'!$N62+0.007,IF(G62="REDES",'Semana 1'!$N62+0.007,IF(G62="AGENTE RM",'Semana 1'!$N62+0.007,IF(G62="AGENTE APERTURA",'Semana 1'!$N62+0.007,IF(G62="AGENTE CIERRE",'Semana 1'!$N62+0.007," - ")))))</f>
        <v>15:55</v>
      </c>
      <c r="P62" s="25" t="str">
        <f t="shared" si="2"/>
        <v>8.0</v>
      </c>
      <c r="Q62" s="24">
        <v>0.4166666666666667</v>
      </c>
      <c r="R62" s="24" t="str">
        <f t="shared" si="78"/>
        <v>15:00</v>
      </c>
      <c r="S62" s="24"/>
      <c r="T62" s="24"/>
      <c r="U62" s="24">
        <v>0.5833333333333334</v>
      </c>
      <c r="V62" s="24" t="str">
        <f t="shared" si="79"/>
        <v>14:30</v>
      </c>
      <c r="W62" s="24"/>
      <c r="X62" s="24"/>
      <c r="Y62" s="25" t="str">
        <f t="shared" si="80"/>
        <v>5.0</v>
      </c>
      <c r="Z62" s="25" t="str">
        <f t="shared" ref="Z62:AC62" si="87">$P62</f>
        <v>8.0</v>
      </c>
      <c r="AA62" s="25" t="str">
        <f t="shared" si="87"/>
        <v>8.0</v>
      </c>
      <c r="AB62" s="25" t="str">
        <f t="shared" si="87"/>
        <v>8.0</v>
      </c>
      <c r="AC62" s="25" t="str">
        <f t="shared" si="87"/>
        <v>8.0</v>
      </c>
      <c r="AD62" s="23" t="str">
        <f t="shared" si="4"/>
        <v>45</v>
      </c>
    </row>
    <row r="63" ht="15.75" customHeight="1">
      <c r="B63" s="18">
        <v>61.0</v>
      </c>
      <c r="C63" s="18" t="s">
        <v>38</v>
      </c>
      <c r="D63" s="19"/>
      <c r="E63" s="20" t="str">
        <f>Personal!G63</f>
        <v>Ilse Beatriz Perez Roque</v>
      </c>
      <c r="F63" s="20"/>
      <c r="G63" s="20" t="str">
        <f>Personal!H63</f>
        <v>AGENTE</v>
      </c>
      <c r="H63" s="24">
        <v>0.3333333333333333</v>
      </c>
      <c r="I63" s="24" t="str">
        <f t="shared" si="77"/>
        <v>17:00</v>
      </c>
      <c r="J63" s="24">
        <v>0.5833333333333334</v>
      </c>
      <c r="K63" s="24" t="str">
        <f>IF(G63="AGENTE",'Semana 1'!$J63+0.042,IF(G63="REDES",'Semana 1'!$J63+0.042,IF(G63="AGENTE RM",'Semana 1'!$J63+0.042,IF(G63="AGENTE APERTURA",'Semana 1'!$J63+0.021,IF(G63="AGENTE CIERRE",'Semana 1'!$J63+0.021," - ")))))</f>
        <v>15:00</v>
      </c>
      <c r="L63" s="24">
        <v>0.4166666666666667</v>
      </c>
      <c r="M63" s="24" t="str">
        <f>IF(G63="AGENTE",'Semana 1'!$L63+0.014,IF(G63="REDES",'Semana 1'!$L63+0.014,IF(G63="AGENTE RM",'Semana 1'!$L63+0.014,IF(G63="AGENTE APERTURA",'Semana 1'!$L63+0.014,IF(G63="AGENTE CIERRE",'Semana 1'!$L63+0.014," - ")))))</f>
        <v>10:20</v>
      </c>
      <c r="N63" s="24">
        <v>0.6875</v>
      </c>
      <c r="O63" s="24" t="str">
        <f>IF(G63="AGENTE",'Semana 1'!$N63+0.007,IF(G63="REDES",'Semana 1'!$N63+0.007,IF(G63="AGENTE RM",'Semana 1'!$N63+0.007,IF(G63="AGENTE APERTURA",'Semana 1'!$N63+0.007,IF(G63="AGENTE CIERRE",'Semana 1'!$N63+0.007," - ")))))</f>
        <v>16:40</v>
      </c>
      <c r="P63" s="25" t="str">
        <f t="shared" si="2"/>
        <v>8.0</v>
      </c>
      <c r="Q63" s="24">
        <v>0.3958333333333333</v>
      </c>
      <c r="R63" s="24" t="str">
        <f t="shared" si="78"/>
        <v>14:30</v>
      </c>
      <c r="S63" s="24"/>
      <c r="T63" s="24"/>
      <c r="U63" s="24">
        <v>0.5416666666666666</v>
      </c>
      <c r="V63" s="24" t="str">
        <f t="shared" si="79"/>
        <v>13:30</v>
      </c>
      <c r="W63" s="24"/>
      <c r="X63" s="24"/>
      <c r="Y63" s="25" t="str">
        <f t="shared" si="80"/>
        <v>5.0</v>
      </c>
      <c r="Z63" s="25" t="str">
        <f t="shared" ref="Z63:AC63" si="88">$P63</f>
        <v>8.0</v>
      </c>
      <c r="AA63" s="25" t="str">
        <f t="shared" si="88"/>
        <v>8.0</v>
      </c>
      <c r="AB63" s="25" t="str">
        <f t="shared" si="88"/>
        <v>8.0</v>
      </c>
      <c r="AC63" s="25" t="str">
        <f t="shared" si="88"/>
        <v>8.0</v>
      </c>
      <c r="AD63" s="27" t="str">
        <f t="shared" si="4"/>
        <v>45</v>
      </c>
    </row>
    <row r="64" ht="15.75" customHeight="1">
      <c r="B64" s="18">
        <v>62.0</v>
      </c>
      <c r="C64" s="18" t="s">
        <v>39</v>
      </c>
      <c r="D64" s="19"/>
      <c r="E64" s="20" t="str">
        <f>Personal!G64</f>
        <v>-</v>
      </c>
      <c r="F64" s="20"/>
      <c r="G64" s="20" t="str">
        <f>Personal!H64</f>
        <v>-</v>
      </c>
      <c r="H64" s="24"/>
      <c r="I64" s="24" t="str">
        <f t="shared" si="77"/>
        <v> </v>
      </c>
      <c r="J64" s="24"/>
      <c r="K64" s="24" t="str">
        <f>IF(G64="AGENTE",'Semana 1'!$J64+0.042,IF(G64="REDES",'Semana 1'!$J64+0.042,IF(G64="AGENTE RM",'Semana 1'!$J64+0.042,IF(G64="AGENTE APERTURA",'Semana 1'!$J64+0.021,IF(G64="AGENTE CIERRE",'Semana 1'!$J64+0.021," - ")))))</f>
        <v> - </v>
      </c>
      <c r="L64" s="24"/>
      <c r="M64" s="24" t="str">
        <f>IF(G64="AGENTE",'Semana 1'!$L64+0.014,IF(G64="REDES",'Semana 1'!$L64+0.014,IF(G64="AGENTE RM",'Semana 1'!$L64+0.014,IF(G64="AGENTE APERTURA",'Semana 1'!$L64+0.014,IF(G64="AGENTE CIERRE",'Semana 1'!$L64+0.014," - ")))))</f>
        <v> - </v>
      </c>
      <c r="N64" s="24"/>
      <c r="O64" s="24" t="str">
        <f>IF(G64="AGENTE",'Semana 1'!$N64+0.007,IF(G64="REDES",'Semana 1'!$N64+0.007,IF(G64="AGENTE RM",'Semana 1'!$N64+0.007,IF(G64="AGENTE APERTURA",'Semana 1'!$N64+0.007,IF(G64="AGENTE CIERRE",'Semana 1'!$N64+0.007," - ")))))</f>
        <v> - </v>
      </c>
      <c r="P64" s="25" t="str">
        <f t="shared" si="2"/>
        <v>-1.0</v>
      </c>
      <c r="Q64" s="24"/>
      <c r="R64" s="24"/>
      <c r="S64" s="24"/>
      <c r="T64" s="24" t="str">
        <f>IF(G64="AGENTE",'Semana 1'!$S64+0.042,IF(G64="REDES",'Semana 1'!$S64+0.042,IF(G64="AGENTE RM",'Semana 1'!$S64+0.042,IF(G64="AGENTE APERTURA",'Semana 1'!$S64+0.021,IF(G64="AGENTE CIERRE",'Semana 1'!$S64+0.021," - ")))))</f>
        <v> - </v>
      </c>
      <c r="U64" s="24"/>
      <c r="V64" s="24" t="str">
        <f t="shared" si="79"/>
        <v/>
      </c>
      <c r="W64" s="24"/>
      <c r="X64" s="24"/>
      <c r="Y64" s="25" t="str">
        <f t="shared" si="80"/>
        <v>0.0</v>
      </c>
      <c r="Z64" s="25" t="str">
        <f t="shared" ref="Z64:AC64" si="89">$P64</f>
        <v>-1.0</v>
      </c>
      <c r="AA64" s="25" t="str">
        <f t="shared" si="89"/>
        <v>-1.0</v>
      </c>
      <c r="AB64" s="25" t="str">
        <f t="shared" si="89"/>
        <v>-1.0</v>
      </c>
      <c r="AC64" s="25" t="str">
        <f t="shared" si="89"/>
        <v>-1.0</v>
      </c>
      <c r="AD64" s="23" t="str">
        <f t="shared" si="4"/>
        <v>-5</v>
      </c>
    </row>
    <row r="65" ht="15.75" customHeight="1">
      <c r="B65" s="18">
        <v>63.0</v>
      </c>
      <c r="C65" s="18" t="s">
        <v>39</v>
      </c>
      <c r="D65" s="19"/>
      <c r="E65" s="20" t="str">
        <f>Personal!G65</f>
        <v>-</v>
      </c>
      <c r="F65" s="20"/>
      <c r="G65" s="20" t="str">
        <f>Personal!H65</f>
        <v>-</v>
      </c>
      <c r="H65" s="24"/>
      <c r="I65" s="24"/>
      <c r="J65" s="24"/>
      <c r="K65" s="24" t="str">
        <f>IF(G65="AGENTE",'Semana 1'!$J65+0.042,IF(G65="REDES",'Semana 1'!$J65+0.042,IF(G65="AGENTE RM",'Semana 1'!$J65+0.042,IF(G65="AGENTE APERTURA",'Semana 1'!$J65+0.021,IF(G65="AGENTE CIERRE",'Semana 1'!$J65+0.021," - ")))))</f>
        <v> - </v>
      </c>
      <c r="L65" s="24"/>
      <c r="M65" s="24" t="str">
        <f>IF(G65="AGENTE",'Semana 1'!$L65+0.014,IF(G65="REDES",'Semana 1'!$L65+0.014,IF(G65="AGENTE RM",'Semana 1'!$L65+0.014,IF(G65="AGENTE APERTURA",'Semana 1'!$L65+0.014,IF(G65="AGENTE CIERRE",'Semana 1'!$L65+0.014," - ")))))</f>
        <v> - </v>
      </c>
      <c r="N65" s="24"/>
      <c r="O65" s="24" t="str">
        <f>IF(G65="AGENTE",'Semana 1'!$N65+0.007,IF(G65="REDES",'Semana 1'!$N65+0.007,IF(G65="AGENTE RM",'Semana 1'!$N65+0.007,IF(G65="AGENTE APERTURA",'Semana 1'!$N65+0.007,IF(G65="AGENTE CIERRE",'Semana 1'!$N65+0.007," - ")))))</f>
        <v> - </v>
      </c>
      <c r="P65" s="25" t="str">
        <f t="shared" si="2"/>
        <v>-1.0</v>
      </c>
      <c r="Q65" s="24"/>
      <c r="R65" s="24"/>
      <c r="S65" s="24"/>
      <c r="T65" s="24" t="str">
        <f>IF(G65="AGENTE",'Semana 1'!$S65+0.042,IF(G65="REDES",'Semana 1'!$S65+0.042,IF(G65="AGENTE RM",'Semana 1'!$S65+0.042,IF(G65="AGENTE APERTURA",'Semana 1'!$S65+0.021,IF(G65="AGENTE CIERRE",'Semana 1'!$S65+0.021," - ")))))</f>
        <v> - </v>
      </c>
      <c r="U65" s="24"/>
      <c r="V65" s="24"/>
      <c r="W65" s="24"/>
      <c r="X65" s="24"/>
      <c r="Y65" s="25" t="str">
        <f t="shared" si="80"/>
        <v>0.0</v>
      </c>
      <c r="Z65" s="25" t="str">
        <f t="shared" ref="Z65:AC65" si="90">$P65</f>
        <v>-1.0</v>
      </c>
      <c r="AA65" s="25" t="str">
        <f t="shared" si="90"/>
        <v>-1.0</v>
      </c>
      <c r="AB65" s="25" t="str">
        <f t="shared" si="90"/>
        <v>-1.0</v>
      </c>
      <c r="AC65" s="25" t="str">
        <f t="shared" si="90"/>
        <v>-1.0</v>
      </c>
      <c r="AD65" s="27" t="str">
        <f t="shared" si="4"/>
        <v>-5</v>
      </c>
    </row>
    <row r="66" ht="15.75" customHeight="1">
      <c r="B66" s="18">
        <v>64.0</v>
      </c>
      <c r="C66" s="18" t="s">
        <v>39</v>
      </c>
      <c r="D66" s="19"/>
      <c r="E66" s="20" t="str">
        <f>Personal!G66</f>
        <v>-</v>
      </c>
      <c r="F66" s="20"/>
      <c r="G66" s="20" t="str">
        <f>Personal!H66</f>
        <v>-</v>
      </c>
      <c r="H66" s="24"/>
      <c r="I66" s="24"/>
      <c r="J66" s="24"/>
      <c r="K66" s="24" t="str">
        <f>IF(G66="AGENTE",'Semana 1'!$J66+0.042,IF(G66="REDES",'Semana 1'!$J66+0.042,IF(G66="AGENTE RM",'Semana 1'!$J66+0.042,IF(G66="AGENTE APERTURA",'Semana 1'!$J66+0.021,IF(G66="AGENTE CIERRE",'Semana 1'!$J66+0.021," - ")))))</f>
        <v> - </v>
      </c>
      <c r="L66" s="24"/>
      <c r="M66" s="24" t="str">
        <f>IF(G66="AGENTE",'Semana 1'!$L66+0.014,IF(G66="REDES",'Semana 1'!$L66+0.014,IF(G66="AGENTE RM",'Semana 1'!$L66+0.014,IF(G66="AGENTE APERTURA",'Semana 1'!$L66+0.014,IF(G66="AGENTE CIERRE",'Semana 1'!$L66+0.014," - ")))))</f>
        <v> - </v>
      </c>
      <c r="N66" s="24"/>
      <c r="O66" s="24" t="str">
        <f>IF(G66="AGENTE",'Semana 1'!$N66+0.007,IF(G66="REDES",'Semana 1'!$N66+0.007,IF(G66="AGENTE RM",'Semana 1'!$N66+0.007,IF(G66="AGENTE APERTURA",'Semana 1'!$N66+0.007,IF(G66="AGENTE CIERRE",'Semana 1'!$N66+0.007," - ")))))</f>
        <v> - </v>
      </c>
      <c r="P66" s="25" t="str">
        <f t="shared" si="2"/>
        <v>-1.0</v>
      </c>
      <c r="Q66" s="24"/>
      <c r="R66" s="24"/>
      <c r="S66" s="24"/>
      <c r="T66" s="24" t="str">
        <f>IF(G66="AGENTE",'Semana 1'!$S66+0.042,IF(G66="REDES",'Semana 1'!$S66+0.042,IF(G66="AGENTE RM",'Semana 1'!$S66+0.042,IF(G66="AGENTE APERTURA",'Semana 1'!$S66+0.021,IF(G66="AGENTE CIERRE",'Semana 1'!$S66+0.021," - ")))))</f>
        <v> - </v>
      </c>
      <c r="U66" s="24"/>
      <c r="V66" s="24"/>
      <c r="W66" s="24"/>
      <c r="X66" s="24"/>
      <c r="Y66" s="25" t="str">
        <f t="shared" si="80"/>
        <v>0.0</v>
      </c>
      <c r="Z66" s="25" t="str">
        <f t="shared" ref="Z66:AC66" si="91">$P66</f>
        <v>-1.0</v>
      </c>
      <c r="AA66" s="25" t="str">
        <f t="shared" si="91"/>
        <v>-1.0</v>
      </c>
      <c r="AB66" s="25" t="str">
        <f t="shared" si="91"/>
        <v>-1.0</v>
      </c>
      <c r="AC66" s="25" t="str">
        <f t="shared" si="91"/>
        <v>-1.0</v>
      </c>
      <c r="AD66" s="23" t="str">
        <f t="shared" si="4"/>
        <v>-5</v>
      </c>
    </row>
    <row r="67" ht="15.75" customHeight="1">
      <c r="B67" s="18">
        <v>65.0</v>
      </c>
      <c r="C67" s="18" t="s">
        <v>38</v>
      </c>
      <c r="D67" s="19"/>
      <c r="E67" s="20" t="str">
        <f>Personal!G67</f>
        <v>Selvin Manolo Rajpop Ajuchan</v>
      </c>
      <c r="F67" s="20"/>
      <c r="G67" s="20" t="str">
        <f>Personal!H67</f>
        <v>AGENTE</v>
      </c>
      <c r="H67" s="24">
        <v>0.3333333333333333</v>
      </c>
      <c r="I67" s="24" t="str">
        <f>IF(H67=0," ",IF(Q67=0,(H67+0.417),(H67+0.3756)))</f>
        <v>17:00</v>
      </c>
      <c r="J67" s="24">
        <v>0.5416666666666666</v>
      </c>
      <c r="K67" s="24" t="str">
        <f>IF(G67="AGENTE",'Semana 1'!$J67+0.042,IF(G67="REDES",'Semana 1'!$J67+0.042,IF(G67="AGENTE RM",'Semana 1'!$J67+0.042,IF(G67="AGENTE APERTURA",'Semana 1'!$J67+0.021,IF(G67="AGENTE CIERRE",'Semana 1'!$J67+0.021," - ")))))</f>
        <v>14:00</v>
      </c>
      <c r="L67" s="24">
        <v>0.3854166666666667</v>
      </c>
      <c r="M67" s="24" t="str">
        <f>IF(G67="AGENTE",'Semana 1'!$L67+0.014,IF(G67="REDES",'Semana 1'!$L67+0.014,IF(G67="AGENTE RM",'Semana 1'!$L67+0.014,IF(G67="AGENTE APERTURA",'Semana 1'!$L67+0.014,IF(G67="AGENTE CIERRE",'Semana 1'!$L67+0.014," - ")))))</f>
        <v>9:35</v>
      </c>
      <c r="N67" s="24">
        <v>0.6979166666666666</v>
      </c>
      <c r="O67" s="24" t="str">
        <f>IF(G67="AGENTE",'Semana 1'!$N67+0.007,IF(G67="REDES",'Semana 1'!$N67+0.007,IF(G67="AGENTE RM",'Semana 1'!$N67+0.007,IF(G67="AGENTE APERTURA",'Semana 1'!$N67+0.007,IF(G67="AGENTE CIERRE",'Semana 1'!$N67+0.007," - ")))))</f>
        <v>16:55</v>
      </c>
      <c r="P67" s="25" t="str">
        <f t="shared" si="2"/>
        <v>8.0</v>
      </c>
      <c r="Q67" s="24">
        <v>0.3541666666666667</v>
      </c>
      <c r="R67" s="24" t="str">
        <f>IF(Q67=0,"",Q67+0.209)</f>
        <v>13:30</v>
      </c>
      <c r="S67" s="24"/>
      <c r="T67" s="24"/>
      <c r="U67" s="24">
        <v>0.3541666666666667</v>
      </c>
      <c r="V67" s="24" t="str">
        <f>IF(U67=0,"",U67+0.021)</f>
        <v>9:00</v>
      </c>
      <c r="W67" s="24"/>
      <c r="X67" s="24"/>
      <c r="Y67" s="25" t="str">
        <f t="shared" si="80"/>
        <v>5.0</v>
      </c>
      <c r="Z67" s="25" t="str">
        <f t="shared" ref="Z67:AC67" si="92">$P67</f>
        <v>8.0</v>
      </c>
      <c r="AA67" s="25" t="str">
        <f t="shared" si="92"/>
        <v>8.0</v>
      </c>
      <c r="AB67" s="25" t="str">
        <f t="shared" si="92"/>
        <v>8.0</v>
      </c>
      <c r="AC67" s="25" t="str">
        <f t="shared" si="92"/>
        <v>8.0</v>
      </c>
      <c r="AD67" s="27" t="str">
        <f t="shared" si="4"/>
        <v>45</v>
      </c>
    </row>
    <row r="68" ht="15.75" customHeight="1">
      <c r="B68" s="18">
        <v>66.0</v>
      </c>
      <c r="C68" s="18" t="s">
        <v>38</v>
      </c>
      <c r="D68" s="19"/>
      <c r="E68" s="20" t="str">
        <f>Personal!G68</f>
        <v>Abner Alexander Curruchich Diaz</v>
      </c>
      <c r="F68" s="20"/>
      <c r="G68" s="20" t="str">
        <f>Personal!H68</f>
        <v>AGENTE</v>
      </c>
      <c r="H68" s="24">
        <v>0.6666666666666666</v>
      </c>
      <c r="I68" s="24">
        <v>0.9583333333333334</v>
      </c>
      <c r="J68" s="24">
        <v>0.875</v>
      </c>
      <c r="K68" s="24">
        <v>0.8958333333333334</v>
      </c>
      <c r="L68" s="24">
        <v>0.8958333333333334</v>
      </c>
      <c r="M68" s="24" t="str">
        <f>IF(G68="AGENTE",'Semana 1'!$L68+0.014,IF(G68="REDES",'Semana 1'!$L68+0.014,IF(G68="AGENTE RM",'Semana 1'!$L68+0.014,IF(G68="AGENTE APERTURA",'Semana 1'!$L68+0.014,IF(G68="AGENTE CIERRE",'Semana 1'!$L68+0.014," - ")))))</f>
        <v>21:50</v>
      </c>
      <c r="N68" s="24">
        <v>0.9097222222222222</v>
      </c>
      <c r="O68" s="24" t="str">
        <f>IF(G68="AGENTE",'Semana 1'!$N68+0.007,IF(G68="REDES",'Semana 1'!$N68+0.007,IF(G68="AGENTE RM",'Semana 1'!$N68+0.007,IF(G68="AGENTE APERTURA",'Semana 1'!$N68+0.007,IF(G68="AGENTE CIERRE",'Semana 1'!$N68+0.007," - ")))))</f>
        <v>22:00</v>
      </c>
      <c r="P68" s="25" t="str">
        <f t="shared" si="2"/>
        <v>6.0</v>
      </c>
      <c r="Q68" s="24">
        <v>0.6666666666666666</v>
      </c>
      <c r="R68" s="24">
        <v>0.9583333333333334</v>
      </c>
      <c r="S68" s="24">
        <v>0.875</v>
      </c>
      <c r="T68" s="24">
        <v>0.8958333333333334</v>
      </c>
      <c r="U68" s="24">
        <v>0.8958333333333334</v>
      </c>
      <c r="V68" s="24">
        <v>0.9098333333333334</v>
      </c>
      <c r="W68" s="24">
        <v>0.9097222222222222</v>
      </c>
      <c r="X68" s="24">
        <v>0.9167222222222222</v>
      </c>
      <c r="Y68" s="25" t="str">
        <f>(IFERROR(R68-Q68,0)*24)-1</f>
        <v>6.0</v>
      </c>
      <c r="Z68" s="25" t="str">
        <f t="shared" ref="Z68:AC68" si="93">$P68</f>
        <v>6.0</v>
      </c>
      <c r="AA68" s="25" t="str">
        <f t="shared" si="93"/>
        <v>6.0</v>
      </c>
      <c r="AB68" s="25" t="str">
        <f t="shared" si="93"/>
        <v>6.0</v>
      </c>
      <c r="AC68" s="25" t="str">
        <f t="shared" si="93"/>
        <v>6.0</v>
      </c>
      <c r="AD68" s="23" t="str">
        <f t="shared" si="4"/>
        <v>36</v>
      </c>
    </row>
    <row r="69" ht="15.75" customHeight="1">
      <c r="B69" s="18">
        <v>67.0</v>
      </c>
      <c r="C69" s="18" t="s">
        <v>38</v>
      </c>
      <c r="D69" s="19"/>
      <c r="E69" s="20" t="str">
        <f>Personal!G69</f>
        <v>Cindi Yorleni Godinez Siles de Eguizabal</v>
      </c>
      <c r="F69" s="20"/>
      <c r="G69" s="20" t="str">
        <f>Personal!H69</f>
        <v>AGENTE</v>
      </c>
      <c r="H69" s="24">
        <v>0.4166666666666667</v>
      </c>
      <c r="I69" s="24" t="str">
        <f t="shared" ref="I69:I74" si="95">IF(H69=0," ",IF(Q69=0,(H69+0.417),(H69+0.3756)))</f>
        <v>19:00</v>
      </c>
      <c r="J69" s="24">
        <v>0.625</v>
      </c>
      <c r="K69" s="24" t="str">
        <f>IF(G69="AGENTE",'Semana 1'!$J69+0.042,IF(G69="REDES",'Semana 1'!$J69+0.042,IF(G69="AGENTE RM",'Semana 1'!$J69+0.042,IF(G69="AGENTE APERTURA",'Semana 1'!$J69+0.021,IF(G69="AGENTE CIERRE",'Semana 1'!$J69+0.021," - ")))))</f>
        <v>16:00</v>
      </c>
      <c r="L69" s="24">
        <v>0.46875</v>
      </c>
      <c r="M69" s="24" t="str">
        <f>IF(G69="AGENTE",'Semana 1'!$L69+0.014,IF(G69="REDES",'Semana 1'!$L69+0.014,IF(G69="AGENTE RM",'Semana 1'!$L69+0.014,IF(G69="AGENTE APERTURA",'Semana 1'!$L69+0.014,IF(G69="AGENTE CIERRE",'Semana 1'!$L69+0.014," - ")))))</f>
        <v>11:35</v>
      </c>
      <c r="N69" s="24">
        <v>0.6875</v>
      </c>
      <c r="O69" s="24" t="str">
        <f>IF(G69="AGENTE",'Semana 1'!$N69+0.007,IF(G69="REDES",'Semana 1'!$N69+0.007,IF(G69="AGENTE RM",'Semana 1'!$N69+0.007,IF(G69="AGENTE APERTURA",'Semana 1'!$N69+0.007,IF(G69="AGENTE CIERRE",'Semana 1'!$N69+0.007," - ")))))</f>
        <v>16:40</v>
      </c>
      <c r="P69" s="25" t="str">
        <f t="shared" si="2"/>
        <v>8.0</v>
      </c>
      <c r="Q69" s="24">
        <v>0.4583333333333333</v>
      </c>
      <c r="R69" s="24" t="str">
        <f t="shared" ref="R69:R74" si="96">IF(Q69=0,"",Q69+0.209)</f>
        <v>16:00</v>
      </c>
      <c r="S69" s="24"/>
      <c r="T69" s="24"/>
      <c r="U69" s="24">
        <v>0.5416666666666666</v>
      </c>
      <c r="V69" s="24" t="str">
        <f t="shared" ref="V69:V74" si="97">IF(U69=0,"",U69+0.021)</f>
        <v>13:30</v>
      </c>
      <c r="W69" s="24"/>
      <c r="X69" s="24"/>
      <c r="Y69" s="25" t="str">
        <f t="shared" ref="Y69:Y79" si="98">(IFERROR(R69-Q69,0)*24)</f>
        <v>5.0</v>
      </c>
      <c r="Z69" s="25" t="str">
        <f t="shared" ref="Z69:AC69" si="94">$P69</f>
        <v>8.0</v>
      </c>
      <c r="AA69" s="25" t="str">
        <f t="shared" si="94"/>
        <v>8.0</v>
      </c>
      <c r="AB69" s="25" t="str">
        <f t="shared" si="94"/>
        <v>8.0</v>
      </c>
      <c r="AC69" s="25" t="str">
        <f t="shared" si="94"/>
        <v>8.0</v>
      </c>
      <c r="AD69" s="27" t="str">
        <f t="shared" si="4"/>
        <v>45</v>
      </c>
    </row>
    <row r="70" ht="15.75" customHeight="1">
      <c r="B70" s="18">
        <v>68.0</v>
      </c>
      <c r="C70" s="18" t="s">
        <v>38</v>
      </c>
      <c r="D70" s="19"/>
      <c r="E70" s="20" t="str">
        <f>Personal!G70</f>
        <v>Lleny Yolanda Asetun Jeronimo de Mateo</v>
      </c>
      <c r="F70" s="20"/>
      <c r="G70" s="20" t="str">
        <f>Personal!H70</f>
        <v>AGENTE</v>
      </c>
      <c r="H70" s="24">
        <v>0.3333333333333333</v>
      </c>
      <c r="I70" s="24" t="str">
        <f t="shared" si="95"/>
        <v>17:00</v>
      </c>
      <c r="J70" s="24">
        <v>0.5416666666666666</v>
      </c>
      <c r="K70" s="24" t="str">
        <f>IF(G70="AGENTE",'Semana 1'!$J70+0.042,IF(G70="REDES",'Semana 1'!$J70+0.042,IF(G70="AGENTE RM",'Semana 1'!$J70+0.042,IF(G70="AGENTE APERTURA",'Semana 1'!$J70+0.021,IF(G70="AGENTE CIERRE",'Semana 1'!$J70+0.021," - ")))))</f>
        <v>14:00</v>
      </c>
      <c r="L70" s="24">
        <v>0.3958333333333333</v>
      </c>
      <c r="M70" s="24" t="str">
        <f>IF(G70="AGENTE",'Semana 1'!$L70+0.014,IF(G70="REDES",'Semana 1'!$L70+0.014,IF(G70="AGENTE RM",'Semana 1'!$L70+0.014,IF(G70="AGENTE APERTURA",'Semana 1'!$L70+0.014,IF(G70="AGENTE CIERRE",'Semana 1'!$L70+0.014," - ")))))</f>
        <v>9:50</v>
      </c>
      <c r="N70" s="24">
        <v>0.6770833333333334</v>
      </c>
      <c r="O70" s="24" t="str">
        <f>IF(G70="AGENTE",'Semana 1'!$N70+0.007,IF(G70="REDES",'Semana 1'!$N70+0.007,IF(G70="AGENTE RM",'Semana 1'!$N70+0.007,IF(G70="AGENTE APERTURA",'Semana 1'!$N70+0.007,IF(G70="AGENTE CIERRE",'Semana 1'!$N70+0.007," - ")))))</f>
        <v>16:25</v>
      </c>
      <c r="P70" s="25" t="str">
        <f t="shared" si="2"/>
        <v>8.0</v>
      </c>
      <c r="Q70" s="24">
        <v>0.5416666666666666</v>
      </c>
      <c r="R70" s="24" t="str">
        <f t="shared" si="96"/>
        <v>18:00</v>
      </c>
      <c r="S70" s="24"/>
      <c r="T70" s="24"/>
      <c r="U70" s="24">
        <v>0.6458333333333334</v>
      </c>
      <c r="V70" s="24" t="str">
        <f t="shared" si="97"/>
        <v>16:00</v>
      </c>
      <c r="W70" s="24"/>
      <c r="X70" s="24"/>
      <c r="Y70" s="25" t="str">
        <f t="shared" si="98"/>
        <v>5.0</v>
      </c>
      <c r="Z70" s="25" t="str">
        <f t="shared" ref="Z70:AC70" si="99">$P70</f>
        <v>8.0</v>
      </c>
      <c r="AA70" s="25" t="str">
        <f t="shared" si="99"/>
        <v>8.0</v>
      </c>
      <c r="AB70" s="25" t="str">
        <f t="shared" si="99"/>
        <v>8.0</v>
      </c>
      <c r="AC70" s="25" t="str">
        <f t="shared" si="99"/>
        <v>8.0</v>
      </c>
      <c r="AD70" s="23" t="str">
        <f t="shared" si="4"/>
        <v>45</v>
      </c>
    </row>
    <row r="71" ht="15.75" customHeight="1">
      <c r="B71" s="18">
        <v>69.0</v>
      </c>
      <c r="C71" s="18" t="s">
        <v>38</v>
      </c>
      <c r="D71" s="19"/>
      <c r="E71" s="20" t="str">
        <f>Personal!G71</f>
        <v>Ruth Nohemi Rosales Perez</v>
      </c>
      <c r="F71" s="20"/>
      <c r="G71" s="20" t="str">
        <f>Personal!H71</f>
        <v>AGENTE</v>
      </c>
      <c r="H71" s="24">
        <v>0.2916666666666667</v>
      </c>
      <c r="I71" s="24" t="str">
        <f t="shared" si="95"/>
        <v>16:00</v>
      </c>
      <c r="J71" s="24">
        <v>0.5</v>
      </c>
      <c r="K71" s="24" t="str">
        <f>IF(G71="AGENTE",'Semana 1'!$J71+0.042,IF(G71="REDES",'Semana 1'!$J71+0.042,IF(G71="AGENTE RM",'Semana 1'!$J71+0.042,IF(G71="AGENTE APERTURA",'Semana 1'!$J71+0.021,IF(G71="AGENTE CIERRE",'Semana 1'!$J71+0.021," - ")))))</f>
        <v>13:00</v>
      </c>
      <c r="L71" s="24">
        <v>0.3645833333333333</v>
      </c>
      <c r="M71" s="24" t="str">
        <f>IF(G71="AGENTE",'Semana 1'!$L71+0.014,IF(G71="REDES",'Semana 1'!$L71+0.014,IF(G71="AGENTE RM",'Semana 1'!$L71+0.014,IF(G71="AGENTE APERTURA",'Semana 1'!$L71+0.014,IF(G71="AGENTE CIERRE",'Semana 1'!$L71+0.014," - ")))))</f>
        <v>9:05</v>
      </c>
      <c r="N71" s="24">
        <v>0.6458333333333334</v>
      </c>
      <c r="O71" s="24" t="str">
        <f>IF(G71="AGENTE",'Semana 1'!$N71+0.007,IF(G71="REDES",'Semana 1'!$N71+0.007,IF(G71="AGENTE RM",'Semana 1'!$N71+0.007,IF(G71="AGENTE APERTURA",'Semana 1'!$N71+0.007,IF(G71="AGENTE CIERRE",'Semana 1'!$N71+0.007," - ")))))</f>
        <v>15:40</v>
      </c>
      <c r="P71" s="25" t="str">
        <f t="shared" si="2"/>
        <v>8.0</v>
      </c>
      <c r="Q71" s="24">
        <v>0.4583333333333333</v>
      </c>
      <c r="R71" s="24" t="str">
        <f t="shared" si="96"/>
        <v>16:00</v>
      </c>
      <c r="S71" s="24"/>
      <c r="T71" s="24"/>
      <c r="U71" s="24">
        <v>0.5</v>
      </c>
      <c r="V71" s="24" t="str">
        <f t="shared" si="97"/>
        <v>12:30</v>
      </c>
      <c r="W71" s="24"/>
      <c r="X71" s="24"/>
      <c r="Y71" s="25" t="str">
        <f t="shared" si="98"/>
        <v>5.0</v>
      </c>
      <c r="Z71" s="25" t="str">
        <f t="shared" ref="Z71:AC71" si="100">$P71</f>
        <v>8.0</v>
      </c>
      <c r="AA71" s="25" t="str">
        <f t="shared" si="100"/>
        <v>8.0</v>
      </c>
      <c r="AB71" s="25" t="str">
        <f t="shared" si="100"/>
        <v>8.0</v>
      </c>
      <c r="AC71" s="25" t="str">
        <f t="shared" si="100"/>
        <v>8.0</v>
      </c>
      <c r="AD71" s="27" t="str">
        <f t="shared" si="4"/>
        <v>45</v>
      </c>
    </row>
    <row r="72" ht="15.75" customHeight="1">
      <c r="B72" s="18">
        <v>70.0</v>
      </c>
      <c r="C72" s="18" t="s">
        <v>38</v>
      </c>
      <c r="D72" s="19"/>
      <c r="E72" s="20" t="str">
        <f>Personal!G72</f>
        <v>Erick Alejandro Avea Rivera</v>
      </c>
      <c r="F72" s="20"/>
      <c r="G72" s="20" t="str">
        <f>Personal!H72</f>
        <v>AGENTE</v>
      </c>
      <c r="H72" s="24">
        <v>0.4166666666666667</v>
      </c>
      <c r="I72" s="24" t="str">
        <f t="shared" si="95"/>
        <v>19:00</v>
      </c>
      <c r="J72" s="24">
        <v>0.625</v>
      </c>
      <c r="K72" s="24" t="str">
        <f>IF(G72="AGENTE",'Semana 1'!$J72+0.042,IF(G72="REDES",'Semana 1'!$J72+0.042,IF(G72="AGENTE RM",'Semana 1'!$J72+0.042,IF(G72="AGENTE APERTURA",'Semana 1'!$J72+0.021,IF(G72="AGENTE CIERRE",'Semana 1'!$J72+0.021," - ")))))</f>
        <v>16:00</v>
      </c>
      <c r="L72" s="24">
        <v>0.4791666666666667</v>
      </c>
      <c r="M72" s="24" t="str">
        <f>IF(G72="AGENTE",'Semana 1'!$L72+0.014,IF(G72="REDES",'Semana 1'!$L72+0.014,IF(G72="AGENTE RM",'Semana 1'!$L72+0.014,IF(G72="AGENTE APERTURA",'Semana 1'!$L72+0.014,IF(G72="AGENTE CIERRE",'Semana 1'!$L72+0.014," - ")))))</f>
        <v>11:50</v>
      </c>
      <c r="N72" s="24">
        <v>0.6979166666666666</v>
      </c>
      <c r="O72" s="24" t="str">
        <f>IF(G72="AGENTE",'Semana 1'!$N72+0.007,IF(G72="REDES",'Semana 1'!$N72+0.007,IF(G72="AGENTE RM",'Semana 1'!$N72+0.007,IF(G72="AGENTE APERTURA",'Semana 1'!$N72+0.007,IF(G72="AGENTE CIERRE",'Semana 1'!$N72+0.007," - ")))))</f>
        <v>16:55</v>
      </c>
      <c r="P72" s="25" t="str">
        <f t="shared" si="2"/>
        <v>8.0</v>
      </c>
      <c r="Q72" s="24">
        <v>0.5</v>
      </c>
      <c r="R72" s="24" t="str">
        <f t="shared" si="96"/>
        <v>17:00</v>
      </c>
      <c r="S72" s="24"/>
      <c r="T72" s="24"/>
      <c r="U72" s="24">
        <v>0.5833333333333334</v>
      </c>
      <c r="V72" s="24" t="str">
        <f t="shared" si="97"/>
        <v>14:30</v>
      </c>
      <c r="W72" s="24"/>
      <c r="X72" s="24"/>
      <c r="Y72" s="25" t="str">
        <f t="shared" si="98"/>
        <v>5.0</v>
      </c>
      <c r="Z72" s="25" t="str">
        <f t="shared" ref="Z72:AC72" si="101">$P72</f>
        <v>8.0</v>
      </c>
      <c r="AA72" s="25" t="str">
        <f t="shared" si="101"/>
        <v>8.0</v>
      </c>
      <c r="AB72" s="25" t="str">
        <f t="shared" si="101"/>
        <v>8.0</v>
      </c>
      <c r="AC72" s="25" t="str">
        <f t="shared" si="101"/>
        <v>8.0</v>
      </c>
      <c r="AD72" s="23" t="str">
        <f t="shared" si="4"/>
        <v>45</v>
      </c>
    </row>
    <row r="73" ht="15.75" customHeight="1">
      <c r="B73" s="18">
        <v>71.0</v>
      </c>
      <c r="C73" s="18" t="s">
        <v>38</v>
      </c>
      <c r="D73" s="19"/>
      <c r="E73" s="20" t="str">
        <f>Personal!G73</f>
        <v>Johanna Elizabeth Rodriguez Bustamante</v>
      </c>
      <c r="F73" s="20"/>
      <c r="G73" s="20" t="str">
        <f>Personal!H73</f>
        <v>AGENTE</v>
      </c>
      <c r="H73" s="24">
        <v>0.3333333333333333</v>
      </c>
      <c r="I73" s="24" t="str">
        <f t="shared" si="95"/>
        <v>17:00</v>
      </c>
      <c r="J73" s="24">
        <v>0.5416666666666666</v>
      </c>
      <c r="K73" s="24" t="str">
        <f>IF(G73="AGENTE",'Semana 1'!$J73+0.042,IF(G73="REDES",'Semana 1'!$J73+0.042,IF(G73="AGENTE RM",'Semana 1'!$J73+0.042,IF(G73="AGENTE APERTURA",'Semana 1'!$J73+0.021,IF(G73="AGENTE CIERRE",'Semana 1'!$J73+0.021," - ")))))</f>
        <v>14:00</v>
      </c>
      <c r="L73" s="24">
        <v>0.40625</v>
      </c>
      <c r="M73" s="24" t="str">
        <f>IF(G73="AGENTE",'Semana 1'!$L73+0.014,IF(G73="REDES",'Semana 1'!$L73+0.014,IF(G73="AGENTE RM",'Semana 1'!$L73+0.014,IF(G73="AGENTE APERTURA",'Semana 1'!$L73+0.014,IF(G73="AGENTE CIERRE",'Semana 1'!$L73+0.014," - ")))))</f>
        <v>10:05</v>
      </c>
      <c r="N73" s="24">
        <v>0.6770833333333334</v>
      </c>
      <c r="O73" s="24" t="str">
        <f>IF(G73="AGENTE",'Semana 1'!$N73+0.007,IF(G73="REDES",'Semana 1'!$N73+0.007,IF(G73="AGENTE RM",'Semana 1'!$N73+0.007,IF(G73="AGENTE APERTURA",'Semana 1'!$N73+0.007,IF(G73="AGENTE CIERRE",'Semana 1'!$N73+0.007," - ")))))</f>
        <v>16:25</v>
      </c>
      <c r="P73" s="25" t="str">
        <f t="shared" si="2"/>
        <v>8.0</v>
      </c>
      <c r="Q73" s="24">
        <v>0.5416666666666666</v>
      </c>
      <c r="R73" s="24" t="str">
        <f t="shared" si="96"/>
        <v>18:00</v>
      </c>
      <c r="S73" s="24"/>
      <c r="T73" s="24"/>
      <c r="U73" s="24">
        <v>0.625</v>
      </c>
      <c r="V73" s="24" t="str">
        <f t="shared" si="97"/>
        <v>15:30</v>
      </c>
      <c r="W73" s="24"/>
      <c r="X73" s="24"/>
      <c r="Y73" s="25" t="str">
        <f t="shared" si="98"/>
        <v>5.0</v>
      </c>
      <c r="Z73" s="25" t="str">
        <f t="shared" ref="Z73:AC73" si="102">$P73</f>
        <v>8.0</v>
      </c>
      <c r="AA73" s="25" t="str">
        <f t="shared" si="102"/>
        <v>8.0</v>
      </c>
      <c r="AB73" s="25" t="str">
        <f t="shared" si="102"/>
        <v>8.0</v>
      </c>
      <c r="AC73" s="25" t="str">
        <f t="shared" si="102"/>
        <v>8.0</v>
      </c>
      <c r="AD73" s="27" t="str">
        <f t="shared" si="4"/>
        <v>45</v>
      </c>
    </row>
    <row r="74" ht="15.75" customHeight="1">
      <c r="B74" s="18">
        <v>72.0</v>
      </c>
      <c r="C74" s="18" t="s">
        <v>38</v>
      </c>
      <c r="D74" s="19"/>
      <c r="E74" s="20" t="str">
        <f>Personal!G74</f>
        <v>Rosbin Omar Salazar Pacay</v>
      </c>
      <c r="F74" s="20"/>
      <c r="G74" s="20" t="str">
        <f>Personal!H74</f>
        <v>AGENTE</v>
      </c>
      <c r="H74" s="24">
        <v>0.3333333333333333</v>
      </c>
      <c r="I74" s="24" t="str">
        <f t="shared" si="95"/>
        <v>17:00</v>
      </c>
      <c r="J74" s="24">
        <v>0.5833333333333334</v>
      </c>
      <c r="K74" s="24" t="str">
        <f>IF(G74="AGENTE",'Semana 1'!$J74+0.042,IF(G74="REDES",'Semana 1'!$J74+0.042,IF(G74="AGENTE RM",'Semana 1'!$J74+0.042,IF(G74="AGENTE APERTURA",'Semana 1'!$J74+0.021,IF(G74="AGENTE CIERRE",'Semana 1'!$J74+0.021," - ")))))</f>
        <v>15:00</v>
      </c>
      <c r="L74" s="24">
        <v>0.3958333333333333</v>
      </c>
      <c r="M74" s="24" t="str">
        <f>IF(G74="AGENTE",'Semana 1'!$L74+0.014,IF(G74="REDES",'Semana 1'!$L74+0.014,IF(G74="AGENTE RM",'Semana 1'!$L74+0.014,IF(G74="AGENTE APERTURA",'Semana 1'!$L74+0.014,IF(G74="AGENTE CIERRE",'Semana 1'!$L74+0.014," - ")))))</f>
        <v>9:50</v>
      </c>
      <c r="N74" s="24">
        <v>0.6666666666666666</v>
      </c>
      <c r="O74" s="24" t="str">
        <f>IF(G74="AGENTE",'Semana 1'!$N74+0.007,IF(G74="REDES",'Semana 1'!$N74+0.007,IF(G74="AGENTE RM",'Semana 1'!$N74+0.007,IF(G74="AGENTE APERTURA",'Semana 1'!$N74+0.007,IF(G74="AGENTE CIERRE",'Semana 1'!$N74+0.007," - ")))))</f>
        <v>16:10</v>
      </c>
      <c r="P74" s="25" t="str">
        <f t="shared" si="2"/>
        <v>8.0</v>
      </c>
      <c r="Q74" s="24">
        <v>0.5416666666666666</v>
      </c>
      <c r="R74" s="24" t="str">
        <f t="shared" si="96"/>
        <v>18:00</v>
      </c>
      <c r="S74" s="24"/>
      <c r="T74" s="24"/>
      <c r="U74" s="24">
        <v>0.6041666666666666</v>
      </c>
      <c r="V74" s="24" t="str">
        <f t="shared" si="97"/>
        <v>15:00</v>
      </c>
      <c r="W74" s="24"/>
      <c r="X74" s="24"/>
      <c r="Y74" s="25" t="str">
        <f t="shared" si="98"/>
        <v>5.0</v>
      </c>
      <c r="Z74" s="25" t="str">
        <f t="shared" ref="Z74:AC74" si="103">$P74</f>
        <v>8.0</v>
      </c>
      <c r="AA74" s="25" t="str">
        <f t="shared" si="103"/>
        <v>8.0</v>
      </c>
      <c r="AB74" s="25" t="str">
        <f t="shared" si="103"/>
        <v>8.0</v>
      </c>
      <c r="AC74" s="25" t="str">
        <f t="shared" si="103"/>
        <v>8.0</v>
      </c>
      <c r="AD74" s="23" t="str">
        <f t="shared" si="4"/>
        <v>45</v>
      </c>
    </row>
    <row r="75" ht="15.75" customHeight="1">
      <c r="B75" s="18">
        <v>73.0</v>
      </c>
      <c r="C75" s="18" t="s">
        <v>38</v>
      </c>
      <c r="D75" s="19"/>
      <c r="E75" s="20" t="str">
        <f>Personal!G75</f>
        <v>-</v>
      </c>
      <c r="F75" s="20"/>
      <c r="G75" s="20" t="s">
        <v>41</v>
      </c>
      <c r="H75" s="24"/>
      <c r="I75" s="24"/>
      <c r="J75" s="24"/>
      <c r="K75" s="24" t="str">
        <f>IF(G75="AGENTE",'Semana 1'!$J75+0.042,IF(G75="REDES",'Semana 1'!$J75+0.042,IF(G75="AGENTE RM",'Semana 1'!$J75+0.042,IF(G75="AGENTE APERTURA",'Semana 1'!$J75+0.021,IF(G75="AGENTE CIERRE",'Semana 1'!$J75+0.021," - ")))))</f>
        <v> - </v>
      </c>
      <c r="L75" s="24"/>
      <c r="M75" s="24" t="str">
        <f>IF(G75="AGENTE",'Semana 1'!$L75+0.014,IF(G75="REDES",'Semana 1'!$L75+0.014,IF(G75="AGENTE RM",'Semana 1'!$L75+0.014,IF(G75="AGENTE APERTURA",'Semana 1'!$L75+0.014,IF(G75="AGENTE CIERRE",'Semana 1'!$L75+0.014," - ")))))</f>
        <v> - </v>
      </c>
      <c r="N75" s="24"/>
      <c r="O75" s="24" t="str">
        <f>IF(G75="AGENTE",'Semana 1'!$N75+0.007,IF(G75="REDES",'Semana 1'!$N75+0.007,IF(G75="AGENTE RM",'Semana 1'!$N75+0.007,IF(G75="AGENTE APERTURA",'Semana 1'!$N75+0.007,IF(G75="AGENTE CIERRE",'Semana 1'!$N75+0.007," - ")))))</f>
        <v> - </v>
      </c>
      <c r="P75" s="25" t="str">
        <f t="shared" si="2"/>
        <v>-1.0</v>
      </c>
      <c r="Q75" s="24"/>
      <c r="R75" s="24"/>
      <c r="S75" s="24"/>
      <c r="T75" s="24" t="str">
        <f>IF(G75="AGENTE",'Semana 1'!$S75+0.042,IF(G75="REDES",'Semana 1'!$S75+0.042,IF(G75="AGENTE RM",'Semana 1'!$S75+0.042,IF(G75="AGENTE APERTURA",'Semana 1'!$S75+0.021,IF(G75="AGENTE CIERRE",'Semana 1'!$S75+0.021," - ")))))</f>
        <v> - </v>
      </c>
      <c r="U75" s="24"/>
      <c r="V75" s="24"/>
      <c r="W75" s="24"/>
      <c r="X75" s="24"/>
      <c r="Y75" s="25" t="str">
        <f t="shared" si="98"/>
        <v>0.0</v>
      </c>
      <c r="Z75" s="25" t="str">
        <f t="shared" ref="Z75:AC75" si="104">$P75</f>
        <v>-1.0</v>
      </c>
      <c r="AA75" s="25" t="str">
        <f t="shared" si="104"/>
        <v>-1.0</v>
      </c>
      <c r="AB75" s="25" t="str">
        <f t="shared" si="104"/>
        <v>-1.0</v>
      </c>
      <c r="AC75" s="25" t="str">
        <f t="shared" si="104"/>
        <v>-1.0</v>
      </c>
      <c r="AD75" s="27" t="str">
        <f t="shared" si="4"/>
        <v>-5</v>
      </c>
    </row>
    <row r="76" ht="15.75" customHeight="1">
      <c r="B76" s="18">
        <v>74.0</v>
      </c>
      <c r="C76" s="18" t="s">
        <v>38</v>
      </c>
      <c r="D76" s="19"/>
      <c r="E76" s="20" t="str">
        <f>Personal!G76</f>
        <v>Cristian Manuel Lopez Chavez</v>
      </c>
      <c r="F76" s="20"/>
      <c r="G76" s="20" t="str">
        <f>Personal!H76</f>
        <v>AGENTE</v>
      </c>
      <c r="H76" s="24">
        <v>0.2916666666666667</v>
      </c>
      <c r="I76" s="24" t="str">
        <f>IF(H76=0," ",IF(Q76=0,(H76+0.417),(H76+0.3756)))</f>
        <v>16:00</v>
      </c>
      <c r="J76" s="24">
        <v>0.5</v>
      </c>
      <c r="K76" s="24" t="str">
        <f>IF(G76="AGENTE",'Semana 1'!$J76+0.042,IF(G76="REDES",'Semana 1'!$J76+0.042,IF(G76="AGENTE RM",'Semana 1'!$J76+0.042,IF(G76="AGENTE APERTURA",'Semana 1'!$J76+0.021,IF(G76="AGENTE CIERRE",'Semana 1'!$J76+0.021," - ")))))</f>
        <v>13:00</v>
      </c>
      <c r="L76" s="24">
        <v>0.3645833333333333</v>
      </c>
      <c r="M76" s="24" t="str">
        <f>IF(G76="AGENTE",'Semana 1'!$L76+0.014,IF(G76="REDES",'Semana 1'!$L76+0.014,IF(G76="AGENTE RM",'Semana 1'!$L76+0.014,IF(G76="AGENTE APERTURA",'Semana 1'!$L76+0.014,IF(G76="AGENTE CIERRE",'Semana 1'!$L76+0.014," - ")))))</f>
        <v>9:05</v>
      </c>
      <c r="N76" s="24">
        <v>0.6458333333333334</v>
      </c>
      <c r="O76" s="24" t="str">
        <f>IF(G76="AGENTE",'Semana 1'!$N76+0.007,IF(G76="REDES",'Semana 1'!$N76+0.007,IF(G76="AGENTE RM",'Semana 1'!$N76+0.007,IF(G76="AGENTE APERTURA",'Semana 1'!$N76+0.007,IF(G76="AGENTE CIERRE",'Semana 1'!$N76+0.007," - ")))))</f>
        <v>15:40</v>
      </c>
      <c r="P76" s="25" t="str">
        <f t="shared" si="2"/>
        <v>8.0</v>
      </c>
      <c r="Q76" s="24">
        <v>0.5</v>
      </c>
      <c r="R76" s="24" t="str">
        <f>IF(Q76=0,"",Q76+0.209)</f>
        <v>17:00</v>
      </c>
      <c r="S76" s="24"/>
      <c r="T76" s="24"/>
      <c r="U76" s="24">
        <v>0.5</v>
      </c>
      <c r="V76" s="24" t="str">
        <f>IF(U76=0,"",U76+0.021)</f>
        <v>12:30</v>
      </c>
      <c r="W76" s="24"/>
      <c r="X76" s="24"/>
      <c r="Y76" s="25" t="str">
        <f t="shared" si="98"/>
        <v>5.0</v>
      </c>
      <c r="Z76" s="25" t="str">
        <f t="shared" ref="Z76:AC76" si="105">$P76</f>
        <v>8.0</v>
      </c>
      <c r="AA76" s="25" t="str">
        <f t="shared" si="105"/>
        <v>8.0</v>
      </c>
      <c r="AB76" s="25" t="str">
        <f t="shared" si="105"/>
        <v>8.0</v>
      </c>
      <c r="AC76" s="25" t="str">
        <f t="shared" si="105"/>
        <v>8.0</v>
      </c>
      <c r="AD76" s="23" t="str">
        <f t="shared" si="4"/>
        <v>45</v>
      </c>
    </row>
    <row r="77" ht="15.75" customHeight="1">
      <c r="B77" s="18">
        <v>75.0</v>
      </c>
      <c r="C77" s="18" t="s">
        <v>38</v>
      </c>
      <c r="D77" s="19"/>
      <c r="E77" s="20" t="str">
        <f>Personal!G77</f>
        <v>-</v>
      </c>
      <c r="F77" s="20"/>
      <c r="G77" s="20" t="s">
        <v>41</v>
      </c>
      <c r="H77" s="24"/>
      <c r="I77" s="24"/>
      <c r="J77" s="24"/>
      <c r="K77" s="24" t="str">
        <f>IF(G77="AGENTE",'Semana 1'!$J77+0.042,IF(G77="REDES",'Semana 1'!$J77+0.042,IF(G77="AGENTE RM",'Semana 1'!$J77+0.042,IF(G77="AGENTE APERTURA",'Semana 1'!$J77+0.021,IF(G77="AGENTE CIERRE",'Semana 1'!$J77+0.021," - ")))))</f>
        <v> - </v>
      </c>
      <c r="L77" s="24"/>
      <c r="M77" s="24" t="str">
        <f>IF(G77="AGENTE",'Semana 1'!$L77+0.014,IF(G77="REDES",'Semana 1'!$L77+0.014,IF(G77="AGENTE RM",'Semana 1'!$L77+0.014,IF(G77="AGENTE APERTURA",'Semana 1'!$L77+0.014,IF(G77="AGENTE CIERRE",'Semana 1'!$L77+0.014," - ")))))</f>
        <v> - </v>
      </c>
      <c r="N77" s="24"/>
      <c r="O77" s="24" t="str">
        <f>IF(G77="AGENTE",'Semana 1'!$N77+0.007,IF(G77="REDES",'Semana 1'!$N77+0.007,IF(G77="AGENTE RM",'Semana 1'!$N77+0.007,IF(G77="AGENTE APERTURA",'Semana 1'!$N77+0.007,IF(G77="AGENTE CIERRE",'Semana 1'!$N77+0.007," - ")))))</f>
        <v> - </v>
      </c>
      <c r="P77" s="25" t="str">
        <f t="shared" si="2"/>
        <v>-1.0</v>
      </c>
      <c r="Q77" s="24"/>
      <c r="R77" s="24"/>
      <c r="S77" s="24"/>
      <c r="T77" s="24" t="str">
        <f>IF(G77="AGENTE",'Semana 1'!$S77+0.042,IF(G77="REDES",'Semana 1'!$S77+0.042,IF(G77="AGENTE RM",'Semana 1'!$S77+0.042,IF(G77="AGENTE APERTURA",'Semana 1'!$S77+0.021,IF(G77="AGENTE CIERRE",'Semana 1'!$S77+0.021," - ")))))</f>
        <v> - </v>
      </c>
      <c r="U77" s="24"/>
      <c r="V77" s="24"/>
      <c r="W77" s="24"/>
      <c r="X77" s="24"/>
      <c r="Y77" s="25" t="str">
        <f t="shared" si="98"/>
        <v>0.0</v>
      </c>
      <c r="Z77" s="25" t="str">
        <f t="shared" ref="Z77:AC77" si="106">$P77</f>
        <v>-1.0</v>
      </c>
      <c r="AA77" s="25" t="str">
        <f t="shared" si="106"/>
        <v>-1.0</v>
      </c>
      <c r="AB77" s="25" t="str">
        <f t="shared" si="106"/>
        <v>-1.0</v>
      </c>
      <c r="AC77" s="25" t="str">
        <f t="shared" si="106"/>
        <v>-1.0</v>
      </c>
      <c r="AD77" s="27" t="str">
        <f t="shared" si="4"/>
        <v>-5</v>
      </c>
    </row>
    <row r="78" ht="15.75" customHeight="1">
      <c r="B78" s="18">
        <v>76.0</v>
      </c>
      <c r="C78" s="18" t="s">
        <v>38</v>
      </c>
      <c r="D78" s="19"/>
      <c r="E78" s="20" t="str">
        <f>Personal!G78</f>
        <v>Melanee Sucely Lopez Castro</v>
      </c>
      <c r="F78" s="20"/>
      <c r="G78" s="20" t="str">
        <f>Personal!H78</f>
        <v>AGENTE</v>
      </c>
      <c r="H78" s="24">
        <v>0.3125</v>
      </c>
      <c r="I78" s="24" t="str">
        <f t="shared" ref="I78:I79" si="108">IF(H78=0," ",IF(Q78=0,(H78+0.417),(H78+0.3756)))</f>
        <v>16:30</v>
      </c>
      <c r="J78" s="24">
        <v>0.5416666666666666</v>
      </c>
      <c r="K78" s="24" t="str">
        <f>IF(G78="AGENTE",'Semana 1'!$J78+0.042,IF(G78="REDES",'Semana 1'!$J78+0.042,IF(G78="AGENTE RM",'Semana 1'!$J78+0.042,IF(G78="AGENTE APERTURA",'Semana 1'!$J78+0.021,IF(G78="AGENTE CIERRE",'Semana 1'!$J78+0.021," - ")))))</f>
        <v>14:00</v>
      </c>
      <c r="L78" s="24">
        <v>0.3645833333333333</v>
      </c>
      <c r="M78" s="24" t="str">
        <f>IF(G78="AGENTE",'Semana 1'!$L78+0.014,IF(G78="REDES",'Semana 1'!$L78+0.014,IF(G78="AGENTE RM",'Semana 1'!$L78+0.014,IF(G78="AGENTE APERTURA",'Semana 1'!$L78+0.014,IF(G78="AGENTE CIERRE",'Semana 1'!$L78+0.014," - ")))))</f>
        <v>9:05</v>
      </c>
      <c r="N78" s="24">
        <v>0.625</v>
      </c>
      <c r="O78" s="24" t="str">
        <f>IF(G78="AGENTE",'Semana 1'!$N78+0.007,IF(G78="REDES",'Semana 1'!$N78+0.007,IF(G78="AGENTE RM",'Semana 1'!$N78+0.007,IF(G78="AGENTE APERTURA",'Semana 1'!$N78+0.007,IF(G78="AGENTE CIERRE",'Semana 1'!$N78+0.007," - ")))))</f>
        <v>15:10</v>
      </c>
      <c r="P78" s="25" t="str">
        <f t="shared" si="2"/>
        <v>8.0</v>
      </c>
      <c r="Q78" s="24">
        <v>0.3333333333333333</v>
      </c>
      <c r="R78" s="24" t="str">
        <f t="shared" ref="R78:R79" si="109">IF(Q78=0,"",Q78+0.209)</f>
        <v>13:00</v>
      </c>
      <c r="S78" s="24"/>
      <c r="T78" s="24"/>
      <c r="U78" s="24">
        <v>0.4166666666666667</v>
      </c>
      <c r="V78" s="24" t="str">
        <f t="shared" ref="V78:V79" si="110">IF(U78=0,"",U78+0.021)</f>
        <v>10:30</v>
      </c>
      <c r="W78" s="24"/>
      <c r="X78" s="24"/>
      <c r="Y78" s="25" t="str">
        <f t="shared" si="98"/>
        <v>5.0</v>
      </c>
      <c r="Z78" s="25" t="str">
        <f t="shared" ref="Z78:AC78" si="107">$P78</f>
        <v>8.0</v>
      </c>
      <c r="AA78" s="25" t="str">
        <f t="shared" si="107"/>
        <v>8.0</v>
      </c>
      <c r="AB78" s="25" t="str">
        <f t="shared" si="107"/>
        <v>8.0</v>
      </c>
      <c r="AC78" s="25" t="str">
        <f t="shared" si="107"/>
        <v>8.0</v>
      </c>
      <c r="AD78" s="23" t="str">
        <f t="shared" si="4"/>
        <v>45</v>
      </c>
    </row>
    <row r="79" ht="15.75" customHeight="1">
      <c r="B79" s="18">
        <v>77.0</v>
      </c>
      <c r="C79" s="18" t="s">
        <v>38</v>
      </c>
      <c r="D79" s="19"/>
      <c r="E79" s="20" t="str">
        <f>Personal!G79</f>
        <v>Byron Estuardo Grijalva Salguero</v>
      </c>
      <c r="F79" s="20"/>
      <c r="G79" s="20" t="str">
        <f>Personal!H79</f>
        <v>AGENTE</v>
      </c>
      <c r="H79" s="24">
        <v>0.375</v>
      </c>
      <c r="I79" s="24" t="str">
        <f t="shared" si="108"/>
        <v>18:00</v>
      </c>
      <c r="J79" s="24">
        <v>0.5833333333333334</v>
      </c>
      <c r="K79" s="24" t="str">
        <f>IF(G79="AGENTE",'Semana 1'!$J79+0.042,IF(G79="REDES",'Semana 1'!$J79+0.042,IF(G79="AGENTE RM",'Semana 1'!$J79+0.042,IF(G79="AGENTE APERTURA",'Semana 1'!$J79+0.021,IF(G79="AGENTE CIERRE",'Semana 1'!$J79+0.021," - ")))))</f>
        <v>15:00</v>
      </c>
      <c r="L79" s="24">
        <v>0.40625</v>
      </c>
      <c r="M79" s="24" t="str">
        <f>IF(G79="AGENTE",'Semana 1'!$L79+0.014,IF(G79="REDES",'Semana 1'!$L79+0.014,IF(G79="AGENTE RM",'Semana 1'!$L79+0.014,IF(G79="AGENTE APERTURA",'Semana 1'!$L79+0.014,IF(G79="AGENTE CIERRE",'Semana 1'!$L79+0.014," - ")))))</f>
        <v>10:05</v>
      </c>
      <c r="N79" s="24">
        <v>0.6979166666666666</v>
      </c>
      <c r="O79" s="24" t="str">
        <f>IF(G79="AGENTE",'Semana 1'!$N79+0.007,IF(G79="REDES",'Semana 1'!$N79+0.007,IF(G79="AGENTE RM",'Semana 1'!$N79+0.007,IF(G79="AGENTE APERTURA",'Semana 1'!$N79+0.007,IF(G79="AGENTE CIERRE",'Semana 1'!$N79+0.007," - ")))))</f>
        <v>16:55</v>
      </c>
      <c r="P79" s="25" t="str">
        <f t="shared" si="2"/>
        <v>8.0</v>
      </c>
      <c r="Q79" s="24">
        <v>0.2916666666666667</v>
      </c>
      <c r="R79" s="24" t="str">
        <f t="shared" si="109"/>
        <v>12:00</v>
      </c>
      <c r="S79" s="24"/>
      <c r="T79" s="24"/>
      <c r="U79" s="24">
        <v>0.3958333333333333</v>
      </c>
      <c r="V79" s="24" t="str">
        <f t="shared" si="110"/>
        <v>10:00</v>
      </c>
      <c r="W79" s="24"/>
      <c r="X79" s="24"/>
      <c r="Y79" s="25" t="str">
        <f t="shared" si="98"/>
        <v>5.0</v>
      </c>
      <c r="Z79" s="25" t="str">
        <f t="shared" ref="Z79:AC79" si="111">$P79</f>
        <v>8.0</v>
      </c>
      <c r="AA79" s="25" t="str">
        <f t="shared" si="111"/>
        <v>8.0</v>
      </c>
      <c r="AB79" s="25" t="str">
        <f t="shared" si="111"/>
        <v>8.0</v>
      </c>
      <c r="AC79" s="25" t="str">
        <f t="shared" si="111"/>
        <v>8.0</v>
      </c>
      <c r="AD79" s="27" t="str">
        <f t="shared" si="4"/>
        <v>45</v>
      </c>
    </row>
    <row r="80" ht="15.75" customHeight="1">
      <c r="B80" s="18">
        <v>78.0</v>
      </c>
      <c r="C80" s="18" t="s">
        <v>38</v>
      </c>
      <c r="D80" s="19"/>
      <c r="E80" s="20" t="str">
        <f>Personal!G80</f>
        <v>Katherine Johana Chavez Deleon</v>
      </c>
      <c r="F80" s="20"/>
      <c r="G80" s="20" t="str">
        <f>Personal!H80</f>
        <v>AGENTE CIERRE</v>
      </c>
      <c r="H80" s="24">
        <v>0.6666666666666666</v>
      </c>
      <c r="I80" s="24">
        <v>0.9583333333333334</v>
      </c>
      <c r="J80" s="24">
        <v>0.9166666666666666</v>
      </c>
      <c r="K80" s="24" t="str">
        <f>IF(G80="AGENTE",'Semana 1'!$J80+0.042,IF(G80="REDES",'Semana 1'!$J80+0.042,IF(G80="AGENTE RM",'Semana 1'!$J80+0.042,IF(G80="AGENTE APERTURA",'Semana 1'!$J80+0.021,IF(G80="AGENTE CIERRE",'Semana 1'!$J80+0.021," - ")))))</f>
        <v>22:30</v>
      </c>
      <c r="L80" s="24">
        <v>0.9375</v>
      </c>
      <c r="M80" s="24" t="str">
        <f>IF(G80="AGENTE",'Semana 1'!$L80+0.014,IF(G80="REDES",'Semana 1'!$L80+0.014,IF(G80="AGENTE RM",'Semana 1'!$L80+0.014,IF(G80="AGENTE APERTURA",'Semana 1'!$L80+0.014,IF(G80="AGENTE CIERRE",'Semana 1'!$L80+0.014," - ")))))</f>
        <v>22:50</v>
      </c>
      <c r="N80" s="24">
        <v>0.9513888888888888</v>
      </c>
      <c r="O80" s="24" t="str">
        <f>IF(G80="AGENTE",'Semana 1'!$N80+0.007,IF(G80="REDES",'Semana 1'!$N80+0.007,IF(G80="AGENTE RM",'Semana 1'!$N80+0.007,IF(G80="AGENTE APERTURA",'Semana 1'!$N80+0.007,IF(G80="AGENTE CIERRE",'Semana 1'!$N80+0.007," - ")))))</f>
        <v>23:00</v>
      </c>
      <c r="P80" s="25" t="str">
        <f t="shared" si="2"/>
        <v>6.0</v>
      </c>
      <c r="Q80" s="24">
        <v>0.6666666666666666</v>
      </c>
      <c r="R80" s="24">
        <v>0.9583333333333334</v>
      </c>
      <c r="S80" s="24">
        <v>0.9166666666666666</v>
      </c>
      <c r="T80" s="24">
        <v>0.9376666666666666</v>
      </c>
      <c r="U80" s="24">
        <v>0.9375</v>
      </c>
      <c r="V80" s="24">
        <v>0.9515</v>
      </c>
      <c r="W80" s="24">
        <v>0.9513888888888888</v>
      </c>
      <c r="X80" s="24">
        <v>0.9583888888888888</v>
      </c>
      <c r="Y80" s="25" t="str">
        <f>(IFERROR(R80-Q80,0)*24)-1</f>
        <v>6.0</v>
      </c>
      <c r="Z80" s="25" t="str">
        <f t="shared" ref="Z80:AC80" si="112">$P80</f>
        <v>6.0</v>
      </c>
      <c r="AA80" s="25" t="str">
        <f t="shared" si="112"/>
        <v>6.0</v>
      </c>
      <c r="AB80" s="25" t="str">
        <f t="shared" si="112"/>
        <v>6.0</v>
      </c>
      <c r="AC80" s="25" t="str">
        <f t="shared" si="112"/>
        <v>6.0</v>
      </c>
      <c r="AD80" s="23" t="str">
        <f t="shared" si="4"/>
        <v>36</v>
      </c>
    </row>
    <row r="81" ht="15.75" customHeight="1">
      <c r="B81" s="18">
        <v>79.0</v>
      </c>
      <c r="C81" s="18" t="s">
        <v>38</v>
      </c>
      <c r="D81" s="19"/>
      <c r="E81" s="20" t="str">
        <f>Personal!G81</f>
        <v>Cinthia Marbelly Lopez Zelada</v>
      </c>
      <c r="F81" s="20"/>
      <c r="G81" s="20" t="str">
        <f>Personal!H81</f>
        <v>AGENTE</v>
      </c>
      <c r="H81" s="24">
        <v>0.375</v>
      </c>
      <c r="I81" s="24" t="str">
        <f t="shared" ref="I81:I87" si="114">IF(H81=0," ",IF(Q81=0,(H81+0.417),(H81+0.3756)))</f>
        <v>18:00</v>
      </c>
      <c r="J81" s="24">
        <v>0.5833333333333334</v>
      </c>
      <c r="K81" s="24" t="str">
        <f>IF(G81="AGENTE",'Semana 1'!$J81+0.042,IF(G81="REDES",'Semana 1'!$J81+0.042,IF(G81="AGENTE RM",'Semana 1'!$J81+0.042,IF(G81="AGENTE APERTURA",'Semana 1'!$J81+0.021,IF(G81="AGENTE CIERRE",'Semana 1'!$J81+0.021," - ")))))</f>
        <v>15:00</v>
      </c>
      <c r="L81" s="24">
        <v>0.40625</v>
      </c>
      <c r="M81" s="24" t="str">
        <f>IF(G81="AGENTE",'Semana 1'!$L81+0.014,IF(G81="REDES",'Semana 1'!$L81+0.014,IF(G81="AGENTE RM",'Semana 1'!$L81+0.014,IF(G81="AGENTE APERTURA",'Semana 1'!$L81+0.014,IF(G81="AGENTE CIERRE",'Semana 1'!$L81+0.014," - ")))))</f>
        <v>10:05</v>
      </c>
      <c r="N81" s="24">
        <v>0.6979166666666666</v>
      </c>
      <c r="O81" s="24" t="str">
        <f>IF(G81="AGENTE",'Semana 1'!$N81+0.007,IF(G81="REDES",'Semana 1'!$N81+0.007,IF(G81="AGENTE RM",'Semana 1'!$N81+0.007,IF(G81="AGENTE APERTURA",'Semana 1'!$N81+0.007,IF(G81="AGENTE CIERRE",'Semana 1'!$N81+0.007," - ")))))</f>
        <v>16:55</v>
      </c>
      <c r="P81" s="25" t="str">
        <f t="shared" si="2"/>
        <v>8.0</v>
      </c>
      <c r="Q81" s="24">
        <v>0.4583333333333333</v>
      </c>
      <c r="R81" s="24" t="str">
        <f t="shared" ref="R81:R85" si="115">IF(Q81=0,"",Q81+0.209)</f>
        <v>16:00</v>
      </c>
      <c r="S81" s="24"/>
      <c r="T81" s="24"/>
      <c r="U81" s="24">
        <v>0.5833333333333334</v>
      </c>
      <c r="V81" s="24" t="str">
        <f t="shared" ref="V81:V87" si="116">IF(U81=0,"",U81+0.021)</f>
        <v>14:30</v>
      </c>
      <c r="W81" s="24"/>
      <c r="X81" s="24"/>
      <c r="Y81" s="25" t="str">
        <f t="shared" ref="Y81:Y87" si="117">(IFERROR(R81-Q81,0)*24)</f>
        <v>5.0</v>
      </c>
      <c r="Z81" s="25" t="str">
        <f t="shared" ref="Z81:AC81" si="113">$P81</f>
        <v>8.0</v>
      </c>
      <c r="AA81" s="25" t="str">
        <f t="shared" si="113"/>
        <v>8.0</v>
      </c>
      <c r="AB81" s="25" t="str">
        <f t="shared" si="113"/>
        <v>8.0</v>
      </c>
      <c r="AC81" s="25" t="str">
        <f t="shared" si="113"/>
        <v>8.0</v>
      </c>
      <c r="AD81" s="27" t="str">
        <f t="shared" si="4"/>
        <v>45</v>
      </c>
    </row>
    <row r="82" ht="15.75" customHeight="1">
      <c r="B82" s="18">
        <v>80.0</v>
      </c>
      <c r="C82" s="18" t="s">
        <v>38</v>
      </c>
      <c r="D82" s="19"/>
      <c r="E82" s="19" t="str">
        <f>Personal!G59</f>
        <v>Ventura Glenda Paola Echeveria Perez</v>
      </c>
      <c r="F82" s="19" t="s">
        <v>13</v>
      </c>
      <c r="G82" s="19" t="str">
        <f>Personal!H59</f>
        <v>AGENTE RM</v>
      </c>
      <c r="H82" s="51">
        <v>0.3333333333333333</v>
      </c>
      <c r="I82" s="51" t="str">
        <f t="shared" si="114"/>
        <v>17:00</v>
      </c>
      <c r="J82" s="51">
        <v>0.5416666666666666</v>
      </c>
      <c r="K82" s="51" t="str">
        <f>IF(G82="AGENTE",'Semana 1'!$J82+0.042,IF(G82="REDES",'Semana 1'!$J82+0.042,IF(G82="AGENTE RM",'Semana 1'!$J82+0.042,IF(G82="AGENTE APERTURA",'Semana 1'!$J82+0.021,IF(G82="AGENTE CIERRE",'Semana 1'!$J82+0.021," - ")))))</f>
        <v>1:00</v>
      </c>
      <c r="L82" s="51">
        <v>0.3958333333333333</v>
      </c>
      <c r="M82" s="51" t="str">
        <f>IF(G82="AGENTE",'Semana 1'!$L82+0.014,IF(G82="REDES",'Semana 1'!$L82+0.014,IF(G82="AGENTE RM",'Semana 1'!$L82+0.014,IF(G82="AGENTE APERTURA",'Semana 1'!$L82+0.014,IF(G82="AGENTE CIERRE",'Semana 1'!$L82+0.014," - ")))))</f>
        <v>0:20</v>
      </c>
      <c r="N82" s="51">
        <v>0.7291666666666666</v>
      </c>
      <c r="O82" s="51" t="str">
        <f>IF(G82="AGENTE",'Semana 1'!$N82+0.007,IF(G82="REDES",'Semana 1'!$N82+0.007,IF(G82="AGENTE RM",'Semana 1'!$N82+0.007,IF(G82="AGENTE APERTURA",'Semana 1'!$N82+0.007,IF(G82="AGENTE CIERRE",'Semana 1'!$N82+0.007," - ")))))</f>
        <v>0:10</v>
      </c>
      <c r="P82" s="52" t="str">
        <f t="shared" si="2"/>
        <v>8.0</v>
      </c>
      <c r="Q82" s="51">
        <v>0.3333333333333333</v>
      </c>
      <c r="R82" s="51" t="str">
        <f t="shared" si="115"/>
        <v>13:00</v>
      </c>
      <c r="S82" s="53"/>
      <c r="T82" s="53"/>
      <c r="U82" s="51">
        <v>0.375</v>
      </c>
      <c r="V82" s="51" t="str">
        <f t="shared" si="116"/>
        <v>9:30</v>
      </c>
      <c r="W82" s="53"/>
      <c r="X82" s="53"/>
      <c r="Y82" s="52" t="str">
        <f t="shared" si="117"/>
        <v>5.0</v>
      </c>
      <c r="Z82" s="52" t="str">
        <f t="shared" ref="Z82:AC82" si="118">$P82</f>
        <v>8.0</v>
      </c>
      <c r="AA82" s="52" t="str">
        <f t="shared" si="118"/>
        <v>8.0</v>
      </c>
      <c r="AB82" s="52" t="str">
        <f t="shared" si="118"/>
        <v>8.0</v>
      </c>
      <c r="AC82" s="52" t="str">
        <f t="shared" si="118"/>
        <v>8.0</v>
      </c>
      <c r="AD82" s="23"/>
    </row>
    <row r="83" ht="15.75" customHeight="1">
      <c r="E83" s="19" t="str">
        <f>Personal!G60</f>
        <v>Oscar Rene Ovalle Letran</v>
      </c>
      <c r="F83" s="19" t="s">
        <v>13</v>
      </c>
      <c r="G83" s="19" t="str">
        <f>Personal!H60</f>
        <v>SOPORTE</v>
      </c>
      <c r="H83" s="54"/>
      <c r="I83" s="54" t="str">
        <f t="shared" si="114"/>
        <v> </v>
      </c>
      <c r="J83" s="54"/>
      <c r="K83" s="54" t="str">
        <f>IF(G83="AGENTE",'Semana 1'!$J83+0.042,IF(G83="REDES",'Semana 1'!$J83+0.042,IF(G83="AGENTE RM",'Semana 1'!$J83+0.042,IF(G83="AGENTE APERTURA",'Semana 1'!$J83+0.021,IF(G83="AGENTE CIERRE",'Semana 1'!$J83+0.021," - ")))))</f>
        <v> - </v>
      </c>
      <c r="L83" s="54"/>
      <c r="M83" s="54" t="str">
        <f>IF(G83="AGENTE",'Semana 1'!$L83+0.014,IF(G83="REDES",'Semana 1'!$L83+0.014,IF(G83="AGENTE RM",'Semana 1'!$L83+0.014,IF(G83="AGENTE APERTURA",'Semana 1'!$L83+0.014,IF(G83="AGENTE CIERRE",'Semana 1'!$L83+0.014," - ")))))</f>
        <v> - </v>
      </c>
      <c r="N83" s="54"/>
      <c r="O83" s="54" t="str">
        <f>IF(G83="AGENTE",'Semana 1'!$N83+0.007,IF(G83="REDES",'Semana 1'!$N83+0.007,IF(G83="AGENTE RM",'Semana 1'!$N83+0.007,IF(G83="AGENTE APERTURA",'Semana 1'!$N83+0.007,IF(G83="AGENTE CIERRE",'Semana 1'!$N83+0.007," - ")))))</f>
        <v> - </v>
      </c>
      <c r="P83" s="55" t="str">
        <f t="shared" si="2"/>
        <v>-1.0</v>
      </c>
      <c r="Q83" s="54"/>
      <c r="R83" s="54" t="str">
        <f t="shared" si="115"/>
        <v/>
      </c>
      <c r="S83" s="54"/>
      <c r="T83" s="54" t="str">
        <f>IF(G83="AGENTE",'Semana 1'!$S83+0.042,IF(G83="REDES",'Semana 1'!$S83+0.042,IF(G83="AGENTE RM",'Semana 1'!$S83+0.042,IF(G83="AGENTE APERTURA",'Semana 1'!$S83+0.021,IF(G83="AGENTE CIERRE",'Semana 1'!$S83+0.021," - ")))))</f>
        <v> - </v>
      </c>
      <c r="U83" s="54"/>
      <c r="V83" s="54" t="str">
        <f t="shared" si="116"/>
        <v/>
      </c>
      <c r="W83" s="54"/>
      <c r="X83" s="54"/>
      <c r="Y83" s="55" t="str">
        <f t="shared" si="117"/>
        <v>0.0</v>
      </c>
      <c r="Z83" s="55" t="str">
        <f t="shared" ref="Z83:AC83" si="119">$P83</f>
        <v>-1.0</v>
      </c>
      <c r="AA83" s="55" t="str">
        <f t="shared" si="119"/>
        <v>-1.0</v>
      </c>
      <c r="AB83" s="55" t="str">
        <f t="shared" si="119"/>
        <v>-1.0</v>
      </c>
      <c r="AC83" s="55" t="str">
        <f t="shared" si="119"/>
        <v>-1.0</v>
      </c>
    </row>
    <row r="84" ht="15.75" customHeight="1">
      <c r="E84" s="19" t="str">
        <f>Personal!G61</f>
        <v>Mariela Edith Torres Figueroa</v>
      </c>
      <c r="F84" s="19" t="s">
        <v>13</v>
      </c>
      <c r="G84" s="19" t="str">
        <f>Personal!H61</f>
        <v>AGENTE</v>
      </c>
      <c r="H84" s="51">
        <v>0.3333333333333333</v>
      </c>
      <c r="I84" s="51" t="str">
        <f t="shared" si="114"/>
        <v>18:00</v>
      </c>
      <c r="J84" s="51">
        <v>0.5</v>
      </c>
      <c r="K84" s="51" t="str">
        <f>IF(G84="AGENTE",'Semana 1'!$J84+0.042,IF(G84="REDES",'Semana 1'!$J84+0.042,IF(G84="AGENTE RM",'Semana 1'!$J84+0.042,IF(G84="AGENTE APERTURA",'Semana 1'!$J84+0.021,IF(G84="AGENTE CIERRE",'Semana 1'!$J84+0.021," - ")))))</f>
        <v>1:00</v>
      </c>
      <c r="L84" s="51">
        <v>0.3854166666666667</v>
      </c>
      <c r="M84" s="51" t="str">
        <f>IF(G84="AGENTE",'Semana 1'!$L84+0.014,IF(G84="REDES",'Semana 1'!$L84+0.014,IF(G84="AGENTE RM",'Semana 1'!$L84+0.014,IF(G84="AGENTE APERTURA",'Semana 1'!$L84+0.014,IF(G84="AGENTE CIERRE",'Semana 1'!$L84+0.014," - ")))))</f>
        <v>0:20</v>
      </c>
      <c r="N84" s="51">
        <v>0.71875</v>
      </c>
      <c r="O84" s="51" t="str">
        <f>IF(G84="AGENTE",'Semana 1'!$N84+0.007,IF(G84="REDES",'Semana 1'!$N84+0.007,IF(G84="AGENTE RM",'Semana 1'!$N84+0.007,IF(G84="AGENTE APERTURA",'Semana 1'!$N84+0.007,IF(G84="AGENTE CIERRE",'Semana 1'!$N84+0.007," - ")))))</f>
        <v>0:10</v>
      </c>
      <c r="P84" s="52" t="str">
        <f t="shared" si="2"/>
        <v>9.0</v>
      </c>
      <c r="Q84" s="51"/>
      <c r="R84" s="51" t="str">
        <f t="shared" si="115"/>
        <v/>
      </c>
      <c r="S84" s="53"/>
      <c r="T84" s="53"/>
      <c r="U84" s="51"/>
      <c r="V84" s="51" t="str">
        <f t="shared" si="116"/>
        <v/>
      </c>
      <c r="W84" s="53"/>
      <c r="X84" s="53"/>
      <c r="Y84" s="52" t="str">
        <f t="shared" si="117"/>
        <v>0.0</v>
      </c>
      <c r="Z84" s="52" t="str">
        <f t="shared" ref="Z84:AC84" si="120">$P84</f>
        <v>9.0</v>
      </c>
      <c r="AA84" s="52" t="str">
        <f t="shared" si="120"/>
        <v>9.0</v>
      </c>
      <c r="AB84" s="52" t="str">
        <f t="shared" si="120"/>
        <v>9.0</v>
      </c>
      <c r="AC84" s="52" t="str">
        <f t="shared" si="120"/>
        <v>9.0</v>
      </c>
    </row>
    <row r="85" ht="15.75" customHeight="1">
      <c r="E85" s="19" t="str">
        <f>Personal!G62</f>
        <v>Marlyn Argentina Aguilar Lemus</v>
      </c>
      <c r="F85" s="19" t="s">
        <v>13</v>
      </c>
      <c r="G85" s="19" t="str">
        <f>Personal!H62</f>
        <v>AGENTE</v>
      </c>
      <c r="H85" s="54">
        <v>0.2708333333333333</v>
      </c>
      <c r="I85" s="54" t="str">
        <f t="shared" si="114"/>
        <v>16:30</v>
      </c>
      <c r="J85" s="54">
        <v>0.5</v>
      </c>
      <c r="K85" s="54" t="str">
        <f>IF(G85="AGENTE",'Semana 1'!$J85+0.042,IF(G85="REDES",'Semana 1'!$J85+0.042,IF(G85="AGENTE RM",'Semana 1'!$J85+0.042,IF(G85="AGENTE APERTURA",'Semana 1'!$J85+0.021,IF(G85="AGENTE CIERRE",'Semana 1'!$J85+0.021," - ")))))</f>
        <v>1:00</v>
      </c>
      <c r="L85" s="54">
        <v>0.3541666666666667</v>
      </c>
      <c r="M85" s="54" t="str">
        <f>IF(G85="AGENTE",'Semana 1'!$L85+0.014,IF(G85="REDES",'Semana 1'!$L85+0.014,IF(G85="AGENTE RM",'Semana 1'!$L85+0.014,IF(G85="AGENTE APERTURA",'Semana 1'!$L85+0.014,IF(G85="AGENTE CIERRE",'Semana 1'!$L85+0.014," - ")))))</f>
        <v>0:20</v>
      </c>
      <c r="N85" s="54">
        <v>0.65625</v>
      </c>
      <c r="O85" s="54" t="str">
        <f>IF(G85="AGENTE",'Semana 1'!$N85+0.007,IF(G85="REDES",'Semana 1'!$N85+0.007,IF(G85="AGENTE RM",'Semana 1'!$N85+0.007,IF(G85="AGENTE APERTURA",'Semana 1'!$N85+0.007,IF(G85="AGENTE CIERRE",'Semana 1'!$N85+0.007," - ")))))</f>
        <v>0:10</v>
      </c>
      <c r="P85" s="55" t="str">
        <f t="shared" si="2"/>
        <v>9.0</v>
      </c>
      <c r="Q85" s="54"/>
      <c r="R85" s="54" t="str">
        <f t="shared" si="115"/>
        <v/>
      </c>
      <c r="S85" s="56"/>
      <c r="T85" s="56"/>
      <c r="U85" s="54"/>
      <c r="V85" s="54" t="str">
        <f t="shared" si="116"/>
        <v/>
      </c>
      <c r="W85" s="56"/>
      <c r="X85" s="56"/>
      <c r="Y85" s="55" t="str">
        <f t="shared" si="117"/>
        <v>0.0</v>
      </c>
      <c r="Z85" s="55" t="str">
        <f t="shared" ref="Z85:AC85" si="121">$P85</f>
        <v>9.0</v>
      </c>
      <c r="AA85" s="55" t="str">
        <f t="shared" si="121"/>
        <v>9.0</v>
      </c>
      <c r="AB85" s="55" t="str">
        <f t="shared" si="121"/>
        <v>9.0</v>
      </c>
      <c r="AC85" s="55" t="str">
        <f t="shared" si="121"/>
        <v>9.0</v>
      </c>
    </row>
    <row r="86" ht="15.75" customHeight="1">
      <c r="E86" s="19" t="str">
        <f>Personal!G63</f>
        <v>Ilse Beatriz Perez Roque</v>
      </c>
      <c r="F86" s="19" t="s">
        <v>13</v>
      </c>
      <c r="G86" s="19" t="str">
        <f>Personal!H63</f>
        <v>AGENTE</v>
      </c>
      <c r="H86" s="51">
        <v>0.3333333333333333</v>
      </c>
      <c r="I86" s="51" t="str">
        <f t="shared" si="114"/>
        <v>18:00</v>
      </c>
      <c r="J86" s="51">
        <v>0.5833333333333334</v>
      </c>
      <c r="K86" s="51" t="str">
        <f>IF(G86="AGENTE",Tabla1[[#This Row],[1 Inicio Almuerzo Lunes]]+0.042,IF(G86="REDES",Tabla1[[#This Row],[1 Inicio Almuerzo Lunes]]+0.042,IF(G86="AGENTE RM",Tabla1[[#This Row],[1 Inicio Almuerzo Lunes]]+0.042,IF(G86="AGENTE APERTURA",Tabla1[[#This Row],[1 Inicio Almuerzo Lunes]]+0.021,IF(G86="AGENTE CIERRE",Tabla1[[#This Row],[1 Inicio Almuerzo Lunes]]+0.021," - ")))))</f>
        <v>#ERROR!</v>
      </c>
      <c r="L86" s="51">
        <v>0.4166666666666667</v>
      </c>
      <c r="M86" s="51" t="str">
        <f>IF(G86="AGENTE",Tabla1[[#This Row],[1 Incio Break 1 Lunes]]+0.014,IF(G86="REDES",Tabla1[[#This Row],[1 Incio Break 1 Lunes]]+0.014,IF(G86="AGENTE RM",Tabla1[[#This Row],[1 Incio Break 1 Lunes]]+0.014,IF(G86="AGENTE APERTURA",Tabla1[[#This Row],[1 Incio Break 1 Lunes]]+0.014,IF(G86="AGENTE CIERRE",Tabla1[[#This Row],[1 Incio Break 1 Lunes]]+0.014," - ")))))</f>
        <v>#ERROR!</v>
      </c>
      <c r="N86" s="51">
        <v>0.6875</v>
      </c>
      <c r="O86" s="51" t="str">
        <f>IF(G86="AGENTE",Tabla1[[#This Row],[1 Incio Break 2 Lunes]]+0.007,IF(G86="REDES",Tabla1[[#This Row],[1 Incio Break 2 Lunes]]+0.007,IF(G86="AGENTE RM",Tabla1[[#This Row],[1 Incio Break 2 Lunes]]+0.007,IF(G86="AGENTE APERTURA",Tabla1[[#This Row],[1 Incio Break 2 Lunes]]+0.007,IF(G86="AGENTE CIERRE",Tabla1[[#This Row],[1 Incio Break 2 Lunes]]+0.007," - ")))))</f>
        <v>#ERROR!</v>
      </c>
      <c r="P86" s="52" t="str">
        <f t="shared" si="2"/>
        <v>9.0</v>
      </c>
      <c r="Q86" s="51"/>
      <c r="R86" s="51"/>
      <c r="S86" s="53"/>
      <c r="T86" s="53"/>
      <c r="U86" s="51"/>
      <c r="V86" s="51" t="str">
        <f t="shared" si="116"/>
        <v/>
      </c>
      <c r="W86" s="53"/>
      <c r="X86" s="53"/>
      <c r="Y86" s="52" t="str">
        <f t="shared" si="117"/>
        <v>0.0</v>
      </c>
      <c r="Z86" s="52" t="str">
        <f t="shared" ref="Z86:AC86" si="122">$P86</f>
        <v>9.0</v>
      </c>
      <c r="AA86" s="52" t="str">
        <f t="shared" si="122"/>
        <v>9.0</v>
      </c>
      <c r="AB86" s="52" t="str">
        <f t="shared" si="122"/>
        <v>9.0</v>
      </c>
      <c r="AC86" s="52" t="str">
        <f t="shared" si="122"/>
        <v>9.0</v>
      </c>
    </row>
    <row r="87" ht="15.75" customHeight="1">
      <c r="E87" s="19" t="str">
        <f>Personal!G64</f>
        <v>-</v>
      </c>
      <c r="F87" s="19" t="s">
        <v>13</v>
      </c>
      <c r="G87" s="19" t="str">
        <f>Personal!H64</f>
        <v>-</v>
      </c>
      <c r="H87" s="54"/>
      <c r="I87" s="54" t="str">
        <f t="shared" si="114"/>
        <v> </v>
      </c>
      <c r="J87" s="54"/>
      <c r="K87" s="54" t="str">
        <f>IF(G87="AGENTE",Tabla1[[#This Row],[1 Inicio Almuerzo Lunes]]+0.042,IF(G87="REDES",Tabla1[[#This Row],[1 Inicio Almuerzo Lunes]]+0.042,IF(G87="AGENTE RM",Tabla1[[#This Row],[1 Inicio Almuerzo Lunes]]+0.042,IF(G87="AGENTE APERTURA",Tabla1[[#This Row],[1 Inicio Almuerzo Lunes]]+0.021,IF(G87="AGENTE CIERRE",Tabla1[[#This Row],[1 Inicio Almuerzo Lunes]]+0.021," - ")))))</f>
        <v>#ERROR!</v>
      </c>
      <c r="L87" s="54"/>
      <c r="M87" s="54" t="str">
        <f>IF(G87="AGENTE",Tabla1[[#This Row],[1 Incio Break 1 Lunes]]+0.014,IF(G87="REDES",Tabla1[[#This Row],[1 Incio Break 1 Lunes]]+0.014,IF(G87="AGENTE RM",Tabla1[[#This Row],[1 Incio Break 1 Lunes]]+0.014,IF(G87="AGENTE APERTURA",Tabla1[[#This Row],[1 Incio Break 1 Lunes]]+0.014,IF(G87="AGENTE CIERRE",Tabla1[[#This Row],[1 Incio Break 1 Lunes]]+0.014," - ")))))</f>
        <v>#ERROR!</v>
      </c>
      <c r="N87" s="54"/>
      <c r="O87" s="54" t="str">
        <f>IF(G87="AGENTE",Tabla1[[#This Row],[1 Incio Break 2 Lunes]]+0.007,IF(G87="REDES",Tabla1[[#This Row],[1 Incio Break 2 Lunes]]+0.007,IF(G87="AGENTE RM",Tabla1[[#This Row],[1 Incio Break 2 Lunes]]+0.007,IF(G87="AGENTE APERTURA",Tabla1[[#This Row],[1 Incio Break 2 Lunes]]+0.007,IF(G87="AGENTE CIERRE",Tabla1[[#This Row],[1 Incio Break 2 Lunes]]+0.007," - ")))))</f>
        <v>#ERROR!</v>
      </c>
      <c r="P87" s="55" t="str">
        <f t="shared" si="2"/>
        <v>-1.0</v>
      </c>
      <c r="Q87" s="54"/>
      <c r="R87" s="54"/>
      <c r="S87" s="54"/>
      <c r="T87" s="54" t="str">
        <f>IF(G87="AGENTE",Tabla1[[#This Row],[1 Inicio AlmuerzoSabado]]+0.042,IF(G87="REDES",Tabla1[[#This Row],[1 Inicio AlmuerzoSabado]]+0.042,IF(G87="AGENTE RM",Tabla1[[#This Row],[1 Inicio AlmuerzoSabado]]+0.042,IF(G87="AGENTE APERTURA",Tabla1[[#This Row],[1 Inicio AlmuerzoSabado]]+0.021,IF(G87="AGENTE CIERRE",Tabla1[[#This Row],[1 Inicio AlmuerzoSabado]]+0.021," - ")))))</f>
        <v>#ERROR!</v>
      </c>
      <c r="U87" s="54"/>
      <c r="V87" s="54" t="str">
        <f t="shared" si="116"/>
        <v/>
      </c>
      <c r="W87" s="54"/>
      <c r="X87" s="54"/>
      <c r="Y87" s="55" t="str">
        <f t="shared" si="117"/>
        <v>0.0</v>
      </c>
      <c r="Z87" s="55" t="str">
        <f t="shared" ref="Z87:AC87" si="123">$P87</f>
        <v>-1.0</v>
      </c>
      <c r="AA87" s="55" t="str">
        <f t="shared" si="123"/>
        <v>-1.0</v>
      </c>
      <c r="AB87" s="55" t="str">
        <f t="shared" si="123"/>
        <v>-1.0</v>
      </c>
      <c r="AC87" s="55" t="str">
        <f t="shared" si="123"/>
        <v>-1.0</v>
      </c>
    </row>
    <row r="88" ht="15.75" customHeight="1">
      <c r="E88" s="19" t="str">
        <f>Personal!G65</f>
        <v>-</v>
      </c>
      <c r="F88" s="19" t="s">
        <v>13</v>
      </c>
      <c r="G88" s="19" t="str">
        <f>Personal!H65</f>
        <v>-</v>
      </c>
      <c r="H88" s="51"/>
      <c r="I88" s="51"/>
      <c r="J88" s="51"/>
      <c r="K88" s="51" t="str">
        <f>IF(G88="AGENTE",Tabla1[[#This Row],[1 Inicio Almuerzo Lunes]]+0.042,IF(G88="REDES",Tabla1[[#This Row],[1 Inicio Almuerzo Lunes]]+0.042,IF(G88="AGENTE RM",Tabla1[[#This Row],[1 Inicio Almuerzo Lunes]]+0.042,IF(G88="AGENTE APERTURA",Tabla1[[#This Row],[1 Inicio Almuerzo Lunes]]+0.021,IF(G88="AGENTE CIERRE",Tabla1[[#This Row],[1 Inicio Almuerzo Lunes]]+0.021," - ")))))</f>
        <v>#ERROR!</v>
      </c>
      <c r="L88" s="51"/>
      <c r="M88" s="51" t="str">
        <f>IF(G88="AGENTE",Tabla1[[#This Row],[1 Incio Break 1 Lunes]]+0.014,IF(G88="REDES",Tabla1[[#This Row],[1 Incio Break 1 Lunes]]+0.014,IF(G88="AGENTE RM",Tabla1[[#This Row],[1 Incio Break 1 Lunes]]+0.014,IF(G88="AGENTE APERTURA",Tabla1[[#This Row],[1 Incio Break 1 Lunes]]+0.014,IF(G88="AGENTE CIERRE",Tabla1[[#This Row],[1 Incio Break 1 Lunes]]+0.014," - ")))))</f>
        <v>#ERROR!</v>
      </c>
      <c r="N88" s="51"/>
      <c r="O88" s="51" t="str">
        <f>IF(G88="AGENTE",Tabla1[[#This Row],[1 Incio Break 2 Lunes]]+0.007,IF(G88="REDES",Tabla1[[#This Row],[1 Incio Break 2 Lunes]]+0.007,IF(G88="AGENTE RM",Tabla1[[#This Row],[1 Incio Break 2 Lunes]]+0.007,IF(G88="AGENTE APERTURA",Tabla1[[#This Row],[1 Incio Break 2 Lunes]]+0.007,IF(G88="AGENTE CIERRE",Tabla1[[#This Row],[1 Incio Break 2 Lunes]]+0.007," - ")))))</f>
        <v>#ERROR!</v>
      </c>
      <c r="P88" s="52"/>
      <c r="Q88" s="51"/>
      <c r="R88" s="51"/>
      <c r="S88" s="53"/>
      <c r="T88" s="53" t="str">
        <f>IF(G88="AGENTE",Tabla1[[#This Row],[1 Inicio AlmuerzoSabado]]+0.042,IF(G88="REDES",Tabla1[[#This Row],[1 Inicio AlmuerzoSabado]]+0.042,IF(G88="AGENTE RM",Tabla1[[#This Row],[1 Inicio AlmuerzoSabado]]+0.042,IF(G88="AGENTE APERTURA",Tabla1[[#This Row],[1 Inicio AlmuerzoSabado]]+0.021,IF(G88="AGENTE CIERRE",Tabla1[[#This Row],[1 Inicio AlmuerzoSabado]]+0.021," - ")))))</f>
        <v>#ERROR!</v>
      </c>
      <c r="U88" s="51"/>
      <c r="V88" s="51"/>
      <c r="W88" s="53"/>
      <c r="X88" s="53"/>
      <c r="Y88" s="52"/>
      <c r="Z88" s="52"/>
      <c r="AA88" s="52"/>
      <c r="AB88" s="52"/>
      <c r="AC88" s="52"/>
    </row>
    <row r="89" ht="15.75" customHeight="1">
      <c r="E89" s="19" t="str">
        <f>Personal!G66</f>
        <v>-</v>
      </c>
      <c r="F89" s="19" t="s">
        <v>13</v>
      </c>
      <c r="G89" s="19" t="str">
        <f>Personal!H66</f>
        <v>-</v>
      </c>
      <c r="H89" s="54"/>
      <c r="I89" s="54"/>
      <c r="J89" s="54"/>
      <c r="K89" s="54" t="str">
        <f>IF(G89="AGENTE",Tabla1[[#This Row],[1 Inicio Almuerzo Lunes]]+0.042,IF(G89="REDES",Tabla1[[#This Row],[1 Inicio Almuerzo Lunes]]+0.042,IF(G89="AGENTE RM",Tabla1[[#This Row],[1 Inicio Almuerzo Lunes]]+0.042,IF(G89="AGENTE APERTURA",Tabla1[[#This Row],[1 Inicio Almuerzo Lunes]]+0.021,IF(G89="AGENTE CIERRE",Tabla1[[#This Row],[1 Inicio Almuerzo Lunes]]+0.021," - ")))))</f>
        <v>#ERROR!</v>
      </c>
      <c r="L89" s="54"/>
      <c r="M89" s="54" t="str">
        <f>IF(G89="AGENTE",Tabla1[[#This Row],[1 Incio Break 1 Lunes]]+0.014,IF(G89="REDES",Tabla1[[#This Row],[1 Incio Break 1 Lunes]]+0.014,IF(G89="AGENTE RM",Tabla1[[#This Row],[1 Incio Break 1 Lunes]]+0.014,IF(G89="AGENTE APERTURA",Tabla1[[#This Row],[1 Incio Break 1 Lunes]]+0.014,IF(G89="AGENTE CIERRE",Tabla1[[#This Row],[1 Incio Break 1 Lunes]]+0.014," - ")))))</f>
        <v>#ERROR!</v>
      </c>
      <c r="N89" s="54"/>
      <c r="O89" s="54" t="str">
        <f>IF(G89="AGENTE",Tabla1[[#This Row],[1 Incio Break 2 Lunes]]+0.007,IF(G89="REDES",Tabla1[[#This Row],[1 Incio Break 2 Lunes]]+0.007,IF(G89="AGENTE RM",Tabla1[[#This Row],[1 Incio Break 2 Lunes]]+0.007,IF(G89="AGENTE APERTURA",Tabla1[[#This Row],[1 Incio Break 2 Lunes]]+0.007,IF(G89="AGENTE CIERRE",Tabla1[[#This Row],[1 Incio Break 2 Lunes]]+0.007," - ")))))</f>
        <v>#ERROR!</v>
      </c>
      <c r="P89" s="55"/>
      <c r="Q89" s="54"/>
      <c r="R89" s="54"/>
      <c r="S89" s="56"/>
      <c r="T89" s="56" t="str">
        <f>IF(G89="AGENTE",Tabla1[[#This Row],[1 Inicio AlmuerzoSabado]]+0.042,IF(G89="REDES",Tabla1[[#This Row],[1 Inicio AlmuerzoSabado]]+0.042,IF(G89="AGENTE RM",Tabla1[[#This Row],[1 Inicio AlmuerzoSabado]]+0.042,IF(G89="AGENTE APERTURA",Tabla1[[#This Row],[1 Inicio AlmuerzoSabado]]+0.021,IF(G89="AGENTE CIERRE",Tabla1[[#This Row],[1 Inicio AlmuerzoSabado]]+0.021," - ")))))</f>
        <v>#ERROR!</v>
      </c>
      <c r="U89" s="54"/>
      <c r="V89" s="54"/>
      <c r="W89" s="56"/>
      <c r="X89" s="56"/>
      <c r="Y89" s="55"/>
      <c r="Z89" s="55"/>
      <c r="AA89" s="55"/>
      <c r="AB89" s="55"/>
      <c r="AC89" s="55"/>
    </row>
    <row r="90" ht="15.75" customHeight="1">
      <c r="E90" s="19" t="str">
        <f>Personal!G67</f>
        <v>Selvin Manolo Rajpop Ajuchan</v>
      </c>
      <c r="F90" s="19" t="s">
        <v>13</v>
      </c>
      <c r="G90" s="19" t="str">
        <f>Personal!H67</f>
        <v>AGENTE</v>
      </c>
      <c r="H90" s="51">
        <v>0.3333333333333333</v>
      </c>
      <c r="I90" s="51" t="str">
        <f t="shared" ref="I90:I97" si="125">IF(H90=0," ",IF(Q90=0,(H90+0.417),(H90+0.3756)))</f>
        <v>17:00</v>
      </c>
      <c r="J90" s="51">
        <v>0.5416666666666666</v>
      </c>
      <c r="K90" s="51" t="str">
        <f>IF(G90="AGENTE",Tabla1[[#This Row],[1 Inicio Almuerzo Lunes]]+0.042,IF(G90="REDES",Tabla1[[#This Row],[1 Inicio Almuerzo Lunes]]+0.042,IF(G90="AGENTE RM",Tabla1[[#This Row],[1 Inicio Almuerzo Lunes]]+0.042,IF(G90="AGENTE APERTURA",Tabla1[[#This Row],[1 Inicio Almuerzo Lunes]]+0.021,IF(G90="AGENTE CIERRE",Tabla1[[#This Row],[1 Inicio Almuerzo Lunes]]+0.021," - ")))))</f>
        <v>#ERROR!</v>
      </c>
      <c r="L90" s="51">
        <v>0.3854166666666667</v>
      </c>
      <c r="M90" s="51" t="str">
        <f>IF(G90="AGENTE",Tabla1[[#This Row],[1 Incio Break 1 Lunes]]+0.014,IF(G90="REDES",Tabla1[[#This Row],[1 Incio Break 1 Lunes]]+0.014,IF(G90="AGENTE RM",Tabla1[[#This Row],[1 Incio Break 1 Lunes]]+0.014,IF(G90="AGENTE APERTURA",Tabla1[[#This Row],[1 Incio Break 1 Lunes]]+0.014,IF(G90="AGENTE CIERRE",Tabla1[[#This Row],[1 Incio Break 1 Lunes]]+0.014," - ")))))</f>
        <v>#ERROR!</v>
      </c>
      <c r="N90" s="51">
        <v>0.6979166666666666</v>
      </c>
      <c r="O90" s="51" t="str">
        <f>IF(G90="AGENTE",Tabla1[[#This Row],[1 Incio Break 2 Lunes]]+0.007,IF(G90="REDES",Tabla1[[#This Row],[1 Incio Break 2 Lunes]]+0.007,IF(G90="AGENTE RM",Tabla1[[#This Row],[1 Incio Break 2 Lunes]]+0.007,IF(G90="AGENTE APERTURA",Tabla1[[#This Row],[1 Incio Break 2 Lunes]]+0.007,IF(G90="AGENTE CIERRE",Tabla1[[#This Row],[1 Incio Break 2 Lunes]]+0.007," - ")))))</f>
        <v>#ERROR!</v>
      </c>
      <c r="P90" s="52" t="str">
        <f t="shared" ref="P90:P104" si="126">(IFERROR(I90-H90,0)*24)-1</f>
        <v>8.0</v>
      </c>
      <c r="Q90" s="51">
        <v>0.3541666666666667</v>
      </c>
      <c r="R90" s="51" t="str">
        <f t="shared" ref="R90:R97" si="127">IF(Q90=0,"",Q90+0.209)</f>
        <v>13:30</v>
      </c>
      <c r="S90" s="53"/>
      <c r="T90" s="53"/>
      <c r="U90" s="51">
        <v>0.3541666666666667</v>
      </c>
      <c r="V90" s="51" t="str">
        <f t="shared" ref="V90:V97" si="128">IF(U90=0,"",U90+0.021)</f>
        <v>9:00</v>
      </c>
      <c r="W90" s="53"/>
      <c r="X90" s="53"/>
      <c r="Y90" s="52" t="str">
        <f t="shared" ref="Y90:Y104" si="129">(IFERROR(R90-Q90,0)*24)</f>
        <v>5.0</v>
      </c>
      <c r="Z90" s="52" t="str">
        <f t="shared" ref="Z90:AC90" si="124">$P90</f>
        <v>8.0</v>
      </c>
      <c r="AA90" s="52" t="str">
        <f t="shared" si="124"/>
        <v>8.0</v>
      </c>
      <c r="AB90" s="52" t="str">
        <f t="shared" si="124"/>
        <v>8.0</v>
      </c>
      <c r="AC90" s="52" t="str">
        <f t="shared" si="124"/>
        <v>8.0</v>
      </c>
    </row>
    <row r="91" ht="15.75" customHeight="1">
      <c r="E91" s="19" t="str">
        <f>Personal!G68</f>
        <v>Abner Alexander Curruchich Diaz</v>
      </c>
      <c r="F91" s="19" t="s">
        <v>13</v>
      </c>
      <c r="G91" s="19" t="str">
        <f>Personal!H68</f>
        <v>AGENTE</v>
      </c>
      <c r="H91" s="54">
        <v>0.3333333333333333</v>
      </c>
      <c r="I91" s="54" t="str">
        <f t="shared" si="125"/>
        <v>17:00</v>
      </c>
      <c r="J91" s="54">
        <v>0.5</v>
      </c>
      <c r="K91" s="54" t="str">
        <f>IF(G91="AGENTE",Tabla1[[#This Row],[1 Inicio Almuerzo Lunes]]+0.042,IF(G91="REDES",Tabla1[[#This Row],[1 Inicio Almuerzo Lunes]]+0.042,IF(G91="AGENTE RM",Tabla1[[#This Row],[1 Inicio Almuerzo Lunes]]+0.042,IF(G91="AGENTE APERTURA",Tabla1[[#This Row],[1 Inicio Almuerzo Lunes]]+0.021,IF(G91="AGENTE CIERRE",Tabla1[[#This Row],[1 Inicio Almuerzo Lunes]]+0.021," - ")))))</f>
        <v>#ERROR!</v>
      </c>
      <c r="L91" s="54">
        <v>0.3854166666666667</v>
      </c>
      <c r="M91" s="54" t="str">
        <f>IF(G91="AGENTE",Tabla1[[#This Row],[1 Incio Break 1 Lunes]]+0.014,IF(G91="REDES",Tabla1[[#This Row],[1 Incio Break 1 Lunes]]+0.014,IF(G91="AGENTE RM",Tabla1[[#This Row],[1 Incio Break 1 Lunes]]+0.014,IF(G91="AGENTE APERTURA",Tabla1[[#This Row],[1 Incio Break 1 Lunes]]+0.014,IF(G91="AGENTE CIERRE",Tabla1[[#This Row],[1 Incio Break 1 Lunes]]+0.014," - ")))))</f>
        <v>#ERROR!</v>
      </c>
      <c r="N91" s="54">
        <v>0.6666666666666666</v>
      </c>
      <c r="O91" s="54" t="str">
        <f>IF(G91="AGENTE",Tabla1[[#This Row],[1 Incio Break 2 Lunes]]+0.007,IF(G91="REDES",Tabla1[[#This Row],[1 Incio Break 2 Lunes]]+0.007,IF(G91="AGENTE RM",Tabla1[[#This Row],[1 Incio Break 2 Lunes]]+0.007,IF(G91="AGENTE APERTURA",Tabla1[[#This Row],[1 Incio Break 2 Lunes]]+0.007,IF(G91="AGENTE CIERRE",Tabla1[[#This Row],[1 Incio Break 2 Lunes]]+0.007," - ")))))</f>
        <v>#ERROR!</v>
      </c>
      <c r="P91" s="55" t="str">
        <f t="shared" si="126"/>
        <v>8.0</v>
      </c>
      <c r="Q91" s="54">
        <v>0.5416666666666666</v>
      </c>
      <c r="R91" s="54" t="str">
        <f t="shared" si="127"/>
        <v>18:00</v>
      </c>
      <c r="S91" s="54"/>
      <c r="T91" s="54"/>
      <c r="U91" s="54">
        <v>0.5833333333333334</v>
      </c>
      <c r="V91" s="54" t="str">
        <f t="shared" si="128"/>
        <v>14:30</v>
      </c>
      <c r="W91" s="54"/>
      <c r="X91" s="54"/>
      <c r="Y91" s="55" t="str">
        <f t="shared" si="129"/>
        <v>5.0</v>
      </c>
      <c r="Z91" s="55" t="str">
        <f t="shared" ref="Z91:AC91" si="130">$P91</f>
        <v>8.0</v>
      </c>
      <c r="AA91" s="55" t="str">
        <f t="shared" si="130"/>
        <v>8.0</v>
      </c>
      <c r="AB91" s="55" t="str">
        <f t="shared" si="130"/>
        <v>8.0</v>
      </c>
      <c r="AC91" s="55" t="str">
        <f t="shared" si="130"/>
        <v>8.0</v>
      </c>
    </row>
    <row r="92" ht="15.75" customHeight="1">
      <c r="E92" s="19" t="str">
        <f>Personal!G69</f>
        <v>Cindi Yorleni Godinez Siles de Eguizabal</v>
      </c>
      <c r="F92" s="19" t="s">
        <v>13</v>
      </c>
      <c r="G92" s="19" t="str">
        <f>Personal!H69</f>
        <v>AGENTE</v>
      </c>
      <c r="H92" s="51">
        <v>0.4166666666666667</v>
      </c>
      <c r="I92" s="51" t="str">
        <f t="shared" si="125"/>
        <v>19:00</v>
      </c>
      <c r="J92" s="51">
        <v>0.5833333333333334</v>
      </c>
      <c r="K92" s="51" t="str">
        <f>IF(G92="AGENTE",Tabla1[[#This Row],[1 Inicio Almuerzo Lunes]]+0.042,IF(G92="REDES",Tabla1[[#This Row],[1 Inicio Almuerzo Lunes]]+0.042,IF(G92="AGENTE RM",Tabla1[[#This Row],[1 Inicio Almuerzo Lunes]]+0.042,IF(G92="AGENTE APERTURA",Tabla1[[#This Row],[1 Inicio Almuerzo Lunes]]+0.021,IF(G92="AGENTE CIERRE",Tabla1[[#This Row],[1 Inicio Almuerzo Lunes]]+0.021," - ")))))</f>
        <v>#ERROR!</v>
      </c>
      <c r="L92" s="51">
        <v>0.46875</v>
      </c>
      <c r="M92" s="51" t="str">
        <f>IF(G92="AGENTE",Tabla1[[#This Row],[1 Incio Break 1 Lunes]]+0.014,IF(G92="REDES",Tabla1[[#This Row],[1 Incio Break 1 Lunes]]+0.014,IF(G92="AGENTE RM",Tabla1[[#This Row],[1 Incio Break 1 Lunes]]+0.014,IF(G92="AGENTE APERTURA",Tabla1[[#This Row],[1 Incio Break 1 Lunes]]+0.014,IF(G92="AGENTE CIERRE",Tabla1[[#This Row],[1 Incio Break 1 Lunes]]+0.014," - ")))))</f>
        <v>#ERROR!</v>
      </c>
      <c r="N92" s="51">
        <v>0.6875</v>
      </c>
      <c r="O92" s="51" t="str">
        <f>IF(G92="AGENTE",Tabla1[[#This Row],[1 Incio Break 2 Lunes]]+0.007,IF(G92="REDES",Tabla1[[#This Row],[1 Incio Break 2 Lunes]]+0.007,IF(G92="AGENTE RM",Tabla1[[#This Row],[1 Incio Break 2 Lunes]]+0.007,IF(G92="AGENTE APERTURA",Tabla1[[#This Row],[1 Incio Break 2 Lunes]]+0.007,IF(G92="AGENTE CIERRE",Tabla1[[#This Row],[1 Incio Break 2 Lunes]]+0.007," - ")))))</f>
        <v>#ERROR!</v>
      </c>
      <c r="P92" s="52" t="str">
        <f t="shared" si="126"/>
        <v>8.0</v>
      </c>
      <c r="Q92" s="51">
        <v>0.4583333333333333</v>
      </c>
      <c r="R92" s="51" t="str">
        <f t="shared" si="127"/>
        <v>16:00</v>
      </c>
      <c r="S92" s="53"/>
      <c r="T92" s="53"/>
      <c r="U92" s="51">
        <v>0.5416666666666666</v>
      </c>
      <c r="V92" s="51" t="str">
        <f t="shared" si="128"/>
        <v>13:30</v>
      </c>
      <c r="W92" s="53"/>
      <c r="X92" s="53"/>
      <c r="Y92" s="52" t="str">
        <f t="shared" si="129"/>
        <v>5.0</v>
      </c>
      <c r="Z92" s="52" t="str">
        <f t="shared" ref="Z92:AC92" si="131">$P92</f>
        <v>8.0</v>
      </c>
      <c r="AA92" s="52" t="str">
        <f t="shared" si="131"/>
        <v>8.0</v>
      </c>
      <c r="AB92" s="52" t="str">
        <f t="shared" si="131"/>
        <v>8.0</v>
      </c>
      <c r="AC92" s="52" t="str">
        <f t="shared" si="131"/>
        <v>8.0</v>
      </c>
    </row>
    <row r="93" ht="15.75" customHeight="1">
      <c r="E93" s="19" t="str">
        <f>Personal!G70</f>
        <v>Lleny Yolanda Asetun Jeronimo de Mateo</v>
      </c>
      <c r="F93" s="19" t="s">
        <v>13</v>
      </c>
      <c r="G93" s="19" t="str">
        <f>Personal!H70</f>
        <v>AGENTE</v>
      </c>
      <c r="H93" s="54">
        <v>0.3333333333333333</v>
      </c>
      <c r="I93" s="54" t="str">
        <f t="shared" si="125"/>
        <v>17:00</v>
      </c>
      <c r="J93" s="54">
        <v>0.5416666666666666</v>
      </c>
      <c r="K93" s="54" t="str">
        <f>IF(G93="AGENTE",Tabla1[[#This Row],[1 Inicio Almuerzo Lunes]]+0.042,IF(G93="REDES",Tabla1[[#This Row],[1 Inicio Almuerzo Lunes]]+0.042,IF(G93="AGENTE RM",Tabla1[[#This Row],[1 Inicio Almuerzo Lunes]]+0.042,IF(G93="AGENTE APERTURA",Tabla1[[#This Row],[1 Inicio Almuerzo Lunes]]+0.021,IF(G93="AGENTE CIERRE",Tabla1[[#This Row],[1 Inicio Almuerzo Lunes]]+0.021," - ")))))</f>
        <v>#ERROR!</v>
      </c>
      <c r="L93" s="54">
        <v>0.3958333333333333</v>
      </c>
      <c r="M93" s="54" t="str">
        <f>IF(G93="AGENTE",Tabla1[[#This Row],[1 Incio Break 1 Lunes]]+0.014,IF(G93="REDES",Tabla1[[#This Row],[1 Incio Break 1 Lunes]]+0.014,IF(G93="AGENTE RM",Tabla1[[#This Row],[1 Incio Break 1 Lunes]]+0.014,IF(G93="AGENTE APERTURA",Tabla1[[#This Row],[1 Incio Break 1 Lunes]]+0.014,IF(G93="AGENTE CIERRE",Tabla1[[#This Row],[1 Incio Break 1 Lunes]]+0.014," - ")))))</f>
        <v>#ERROR!</v>
      </c>
      <c r="N93" s="54">
        <v>0.6770833333333334</v>
      </c>
      <c r="O93" s="54" t="str">
        <f>IF(G93="AGENTE",Tabla1[[#This Row],[1 Incio Break 2 Lunes]]+0.007,IF(G93="REDES",Tabla1[[#This Row],[1 Incio Break 2 Lunes]]+0.007,IF(G93="AGENTE RM",Tabla1[[#This Row],[1 Incio Break 2 Lunes]]+0.007,IF(G93="AGENTE APERTURA",Tabla1[[#This Row],[1 Incio Break 2 Lunes]]+0.007,IF(G93="AGENTE CIERRE",Tabla1[[#This Row],[1 Incio Break 2 Lunes]]+0.007," - ")))))</f>
        <v>#ERROR!</v>
      </c>
      <c r="P93" s="55" t="str">
        <f t="shared" si="126"/>
        <v>8.0</v>
      </c>
      <c r="Q93" s="54">
        <v>0.5416666666666666</v>
      </c>
      <c r="R93" s="54" t="str">
        <f t="shared" si="127"/>
        <v>18:00</v>
      </c>
      <c r="S93" s="56"/>
      <c r="T93" s="56"/>
      <c r="U93" s="54">
        <v>0.6458333333333334</v>
      </c>
      <c r="V93" s="54" t="str">
        <f t="shared" si="128"/>
        <v>16:00</v>
      </c>
      <c r="W93" s="56"/>
      <c r="X93" s="56"/>
      <c r="Y93" s="55" t="str">
        <f t="shared" si="129"/>
        <v>5.0</v>
      </c>
      <c r="Z93" s="55" t="str">
        <f t="shared" ref="Z93:AC93" si="132">$P93</f>
        <v>8.0</v>
      </c>
      <c r="AA93" s="55" t="str">
        <f t="shared" si="132"/>
        <v>8.0</v>
      </c>
      <c r="AB93" s="55" t="str">
        <f t="shared" si="132"/>
        <v>8.0</v>
      </c>
      <c r="AC93" s="55" t="str">
        <f t="shared" si="132"/>
        <v>8.0</v>
      </c>
    </row>
    <row r="94" ht="15.75" customHeight="1">
      <c r="E94" s="19" t="str">
        <f>Personal!G71</f>
        <v>Ruth Nohemi Rosales Perez</v>
      </c>
      <c r="F94" s="19" t="s">
        <v>13</v>
      </c>
      <c r="G94" s="19" t="str">
        <f>Personal!H71</f>
        <v>AGENTE</v>
      </c>
      <c r="H94" s="51">
        <v>0.2916666666666667</v>
      </c>
      <c r="I94" s="51" t="str">
        <f t="shared" si="125"/>
        <v>16:00</v>
      </c>
      <c r="J94" s="51">
        <v>0.5</v>
      </c>
      <c r="K94" s="51" t="str">
        <f>IF(G94="AGENTE",Tabla1[[#This Row],[1 Inicio Almuerzo Lunes]]+0.042,IF(G94="REDES",Tabla1[[#This Row],[1 Inicio Almuerzo Lunes]]+0.042,IF(G94="AGENTE RM",Tabla1[[#This Row],[1 Inicio Almuerzo Lunes]]+0.042,IF(G94="AGENTE APERTURA",Tabla1[[#This Row],[1 Inicio Almuerzo Lunes]]+0.021,IF(G94="AGENTE CIERRE",Tabla1[[#This Row],[1 Inicio Almuerzo Lunes]]+0.021," - ")))))</f>
        <v>#ERROR!</v>
      </c>
      <c r="L94" s="51">
        <v>0.3645833333333333</v>
      </c>
      <c r="M94" s="51" t="str">
        <f>IF(G94="AGENTE",Tabla1[[#This Row],[1 Incio Break 1 Lunes]]+0.014,IF(G94="REDES",Tabla1[[#This Row],[1 Incio Break 1 Lunes]]+0.014,IF(G94="AGENTE RM",Tabla1[[#This Row],[1 Incio Break 1 Lunes]]+0.014,IF(G94="AGENTE APERTURA",Tabla1[[#This Row],[1 Incio Break 1 Lunes]]+0.014,IF(G94="AGENTE CIERRE",Tabla1[[#This Row],[1 Incio Break 1 Lunes]]+0.014," - ")))))</f>
        <v>#ERROR!</v>
      </c>
      <c r="N94" s="51">
        <v>0.6458333333333334</v>
      </c>
      <c r="O94" s="51" t="str">
        <f>IF(G94="AGENTE",Tabla1[[#This Row],[1 Incio Break 2 Lunes]]+0.007,IF(G94="REDES",Tabla1[[#This Row],[1 Incio Break 2 Lunes]]+0.007,IF(G94="AGENTE RM",Tabla1[[#This Row],[1 Incio Break 2 Lunes]]+0.007,IF(G94="AGENTE APERTURA",Tabla1[[#This Row],[1 Incio Break 2 Lunes]]+0.007,IF(G94="AGENTE CIERRE",Tabla1[[#This Row],[1 Incio Break 2 Lunes]]+0.007," - ")))))</f>
        <v>#ERROR!</v>
      </c>
      <c r="P94" s="52" t="str">
        <f t="shared" si="126"/>
        <v>8.0</v>
      </c>
      <c r="Q94" s="51">
        <v>0.4583333333333333</v>
      </c>
      <c r="R94" s="51" t="str">
        <f t="shared" si="127"/>
        <v>16:00</v>
      </c>
      <c r="S94" s="53"/>
      <c r="T94" s="53"/>
      <c r="U94" s="51">
        <v>0.5</v>
      </c>
      <c r="V94" s="51" t="str">
        <f t="shared" si="128"/>
        <v>12:30</v>
      </c>
      <c r="W94" s="53"/>
      <c r="X94" s="53"/>
      <c r="Y94" s="52" t="str">
        <f t="shared" si="129"/>
        <v>5.0</v>
      </c>
      <c r="Z94" s="52" t="str">
        <f t="shared" ref="Z94:AC94" si="133">$P94</f>
        <v>8.0</v>
      </c>
      <c r="AA94" s="52" t="str">
        <f t="shared" si="133"/>
        <v>8.0</v>
      </c>
      <c r="AB94" s="52" t="str">
        <f t="shared" si="133"/>
        <v>8.0</v>
      </c>
      <c r="AC94" s="52" t="str">
        <f t="shared" si="133"/>
        <v>8.0</v>
      </c>
    </row>
    <row r="95" ht="15.75" customHeight="1">
      <c r="E95" s="19" t="str">
        <f>Personal!G72</f>
        <v>Erick Alejandro Avea Rivera</v>
      </c>
      <c r="F95" s="19" t="s">
        <v>13</v>
      </c>
      <c r="G95" s="19" t="str">
        <f>Personal!H72</f>
        <v>AGENTE</v>
      </c>
      <c r="H95" s="54">
        <v>0.4166666666666667</v>
      </c>
      <c r="I95" s="54" t="str">
        <f t="shared" si="125"/>
        <v>19:00</v>
      </c>
      <c r="J95" s="54">
        <v>0.5833333333333334</v>
      </c>
      <c r="K95" s="54" t="str">
        <f>IF(G95="AGENTE",Tabla1[[#This Row],[1 Inicio Almuerzo Lunes]]+0.042,IF(G95="REDES",Tabla1[[#This Row],[1 Inicio Almuerzo Lunes]]+0.042,IF(G95="AGENTE RM",Tabla1[[#This Row],[1 Inicio Almuerzo Lunes]]+0.042,IF(G95="AGENTE APERTURA",Tabla1[[#This Row],[1 Inicio Almuerzo Lunes]]+0.021,IF(G95="AGENTE CIERRE",Tabla1[[#This Row],[1 Inicio Almuerzo Lunes]]+0.021," - ")))))</f>
        <v>#ERROR!</v>
      </c>
      <c r="L95" s="54">
        <v>0.4791666666666667</v>
      </c>
      <c r="M95" s="54" t="str">
        <f>IF(G95="AGENTE",Tabla1[[#This Row],[1 Incio Break 1 Lunes]]+0.014,IF(G95="REDES",Tabla1[[#This Row],[1 Incio Break 1 Lunes]]+0.014,IF(G95="AGENTE RM",Tabla1[[#This Row],[1 Incio Break 1 Lunes]]+0.014,IF(G95="AGENTE APERTURA",Tabla1[[#This Row],[1 Incio Break 1 Lunes]]+0.014,IF(G95="AGENTE CIERRE",Tabla1[[#This Row],[1 Incio Break 1 Lunes]]+0.014," - ")))))</f>
        <v>#ERROR!</v>
      </c>
      <c r="N95" s="54">
        <v>0.6979166666666666</v>
      </c>
      <c r="O95" s="54" t="str">
        <f>IF(G95="AGENTE",Tabla1[[#This Row],[1 Incio Break 2 Lunes]]+0.007,IF(G95="REDES",Tabla1[[#This Row],[1 Incio Break 2 Lunes]]+0.007,IF(G95="AGENTE RM",Tabla1[[#This Row],[1 Incio Break 2 Lunes]]+0.007,IF(G95="AGENTE APERTURA",Tabla1[[#This Row],[1 Incio Break 2 Lunes]]+0.007,IF(G95="AGENTE CIERRE",Tabla1[[#This Row],[1 Incio Break 2 Lunes]]+0.007," - ")))))</f>
        <v>#ERROR!</v>
      </c>
      <c r="P95" s="55" t="str">
        <f t="shared" si="126"/>
        <v>8.0</v>
      </c>
      <c r="Q95" s="54">
        <v>0.5</v>
      </c>
      <c r="R95" s="54" t="str">
        <f t="shared" si="127"/>
        <v>17:00</v>
      </c>
      <c r="S95" s="56"/>
      <c r="T95" s="56"/>
      <c r="U95" s="54">
        <v>0.5833333333333334</v>
      </c>
      <c r="V95" s="54" t="str">
        <f t="shared" si="128"/>
        <v>14:30</v>
      </c>
      <c r="W95" s="56"/>
      <c r="X95" s="56"/>
      <c r="Y95" s="55" t="str">
        <f t="shared" si="129"/>
        <v>5.0</v>
      </c>
      <c r="Z95" s="55" t="str">
        <f t="shared" ref="Z95:AC95" si="134">$P95</f>
        <v>8.0</v>
      </c>
      <c r="AA95" s="55" t="str">
        <f t="shared" si="134"/>
        <v>8.0</v>
      </c>
      <c r="AB95" s="55" t="str">
        <f t="shared" si="134"/>
        <v>8.0</v>
      </c>
      <c r="AC95" s="55" t="str">
        <f t="shared" si="134"/>
        <v>8.0</v>
      </c>
    </row>
    <row r="96" ht="15.75" customHeight="1">
      <c r="E96" s="19" t="str">
        <f>Personal!G73</f>
        <v>Johanna Elizabeth Rodriguez Bustamante</v>
      </c>
      <c r="F96" s="19" t="s">
        <v>13</v>
      </c>
      <c r="G96" s="19" t="str">
        <f>Personal!H73</f>
        <v>AGENTE</v>
      </c>
      <c r="H96" s="51">
        <v>0.3333333333333333</v>
      </c>
      <c r="I96" s="51" t="str">
        <f t="shared" si="125"/>
        <v>17:00</v>
      </c>
      <c r="J96" s="51">
        <v>0.5416666666666666</v>
      </c>
      <c r="K96" s="51" t="str">
        <f>IF(G96="AGENTE",Tabla1[[#This Row],[1 Inicio Almuerzo Lunes]]+0.042,IF(G96="REDES",Tabla1[[#This Row],[1 Inicio Almuerzo Lunes]]+0.042,IF(G96="AGENTE RM",Tabla1[[#This Row],[1 Inicio Almuerzo Lunes]]+0.042,IF(G96="AGENTE APERTURA",Tabla1[[#This Row],[1 Inicio Almuerzo Lunes]]+0.021,IF(G96="AGENTE CIERRE",Tabla1[[#This Row],[1 Inicio Almuerzo Lunes]]+0.021," - ")))))</f>
        <v>#ERROR!</v>
      </c>
      <c r="L96" s="51">
        <v>0.40625</v>
      </c>
      <c r="M96" s="51" t="str">
        <f>IF(G96="AGENTE",Tabla1[[#This Row],[1 Incio Break 1 Lunes]]+0.014,IF(G96="REDES",Tabla1[[#This Row],[1 Incio Break 1 Lunes]]+0.014,IF(G96="AGENTE RM",Tabla1[[#This Row],[1 Incio Break 1 Lunes]]+0.014,IF(G96="AGENTE APERTURA",Tabla1[[#This Row],[1 Incio Break 1 Lunes]]+0.014,IF(G96="AGENTE CIERRE",Tabla1[[#This Row],[1 Incio Break 1 Lunes]]+0.014," - ")))))</f>
        <v>#ERROR!</v>
      </c>
      <c r="N96" s="51">
        <v>0.6770833333333334</v>
      </c>
      <c r="O96" s="51" t="str">
        <f>IF(G96="AGENTE",Tabla1[[#This Row],[1 Incio Break 2 Lunes]]+0.007,IF(G96="REDES",Tabla1[[#This Row],[1 Incio Break 2 Lunes]]+0.007,IF(G96="AGENTE RM",Tabla1[[#This Row],[1 Incio Break 2 Lunes]]+0.007,IF(G96="AGENTE APERTURA",Tabla1[[#This Row],[1 Incio Break 2 Lunes]]+0.007,IF(G96="AGENTE CIERRE",Tabla1[[#This Row],[1 Incio Break 2 Lunes]]+0.007," - ")))))</f>
        <v>#ERROR!</v>
      </c>
      <c r="P96" s="52" t="str">
        <f t="shared" si="126"/>
        <v>8.0</v>
      </c>
      <c r="Q96" s="51">
        <v>0.5416666666666666</v>
      </c>
      <c r="R96" s="51" t="str">
        <f t="shared" si="127"/>
        <v>18:00</v>
      </c>
      <c r="S96" s="53"/>
      <c r="T96" s="53"/>
      <c r="U96" s="51">
        <v>0.625</v>
      </c>
      <c r="V96" s="51" t="str">
        <f t="shared" si="128"/>
        <v>15:30</v>
      </c>
      <c r="W96" s="53"/>
      <c r="X96" s="53"/>
      <c r="Y96" s="52" t="str">
        <f t="shared" si="129"/>
        <v>5.0</v>
      </c>
      <c r="Z96" s="52" t="str">
        <f t="shared" ref="Z96:AC96" si="135">$P96</f>
        <v>8.0</v>
      </c>
      <c r="AA96" s="52" t="str">
        <f t="shared" si="135"/>
        <v>8.0</v>
      </c>
      <c r="AB96" s="52" t="str">
        <f t="shared" si="135"/>
        <v>8.0</v>
      </c>
      <c r="AC96" s="52" t="str">
        <f t="shared" si="135"/>
        <v>8.0</v>
      </c>
    </row>
    <row r="97" ht="15.75" customHeight="1">
      <c r="E97" s="19" t="str">
        <f>Personal!G74</f>
        <v>Rosbin Omar Salazar Pacay</v>
      </c>
      <c r="F97" s="19" t="s">
        <v>13</v>
      </c>
      <c r="G97" s="19" t="str">
        <f>Personal!H74</f>
        <v>AGENTE</v>
      </c>
      <c r="H97" s="54">
        <v>0.3333333333333333</v>
      </c>
      <c r="I97" s="54" t="str">
        <f t="shared" si="125"/>
        <v>17:00</v>
      </c>
      <c r="J97" s="54">
        <v>0.5833333333333334</v>
      </c>
      <c r="K97" s="54" t="str">
        <f>IF(G97="AGENTE",Tabla1[[#This Row],[1 Inicio Almuerzo Lunes]]+0.042,IF(G97="REDES",Tabla1[[#This Row],[1 Inicio Almuerzo Lunes]]+0.042,IF(G97="AGENTE RM",Tabla1[[#This Row],[1 Inicio Almuerzo Lunes]]+0.042,IF(G97="AGENTE APERTURA",Tabla1[[#This Row],[1 Inicio Almuerzo Lunes]]+0.021,IF(G97="AGENTE CIERRE",Tabla1[[#This Row],[1 Inicio Almuerzo Lunes]]+0.021," - ")))))</f>
        <v>#ERROR!</v>
      </c>
      <c r="L97" s="54">
        <v>0.3958333333333333</v>
      </c>
      <c r="M97" s="54" t="str">
        <f>IF(G97="AGENTE",Tabla1[[#This Row],[1 Incio Break 1 Lunes]]+0.014,IF(G97="REDES",Tabla1[[#This Row],[1 Incio Break 1 Lunes]]+0.014,IF(G97="AGENTE RM",Tabla1[[#This Row],[1 Incio Break 1 Lunes]]+0.014,IF(G97="AGENTE APERTURA",Tabla1[[#This Row],[1 Incio Break 1 Lunes]]+0.014,IF(G97="AGENTE CIERRE",Tabla1[[#This Row],[1 Incio Break 1 Lunes]]+0.014," - ")))))</f>
        <v>#ERROR!</v>
      </c>
      <c r="N97" s="54">
        <v>0.6666666666666666</v>
      </c>
      <c r="O97" s="54" t="str">
        <f>IF(G97="AGENTE",Tabla1[[#This Row],[1 Incio Break 2 Lunes]]+0.007,IF(G97="REDES",Tabla1[[#This Row],[1 Incio Break 2 Lunes]]+0.007,IF(G97="AGENTE RM",Tabla1[[#This Row],[1 Incio Break 2 Lunes]]+0.007,IF(G97="AGENTE APERTURA",Tabla1[[#This Row],[1 Incio Break 2 Lunes]]+0.007,IF(G97="AGENTE CIERRE",Tabla1[[#This Row],[1 Incio Break 2 Lunes]]+0.007," - ")))))</f>
        <v>#ERROR!</v>
      </c>
      <c r="P97" s="55" t="str">
        <f t="shared" si="126"/>
        <v>8.0</v>
      </c>
      <c r="Q97" s="54">
        <v>0.5416666666666666</v>
      </c>
      <c r="R97" s="54" t="str">
        <f t="shared" si="127"/>
        <v>18:00</v>
      </c>
      <c r="S97" s="54"/>
      <c r="T97" s="54"/>
      <c r="U97" s="54">
        <v>0.6041666666666666</v>
      </c>
      <c r="V97" s="54" t="str">
        <f t="shared" si="128"/>
        <v>15:00</v>
      </c>
      <c r="W97" s="54"/>
      <c r="X97" s="54"/>
      <c r="Y97" s="55" t="str">
        <f t="shared" si="129"/>
        <v>5.0</v>
      </c>
      <c r="Z97" s="55" t="str">
        <f t="shared" ref="Z97:AC97" si="136">$P97</f>
        <v>8.0</v>
      </c>
      <c r="AA97" s="55" t="str">
        <f t="shared" si="136"/>
        <v>8.0</v>
      </c>
      <c r="AB97" s="55" t="str">
        <f t="shared" si="136"/>
        <v>8.0</v>
      </c>
      <c r="AC97" s="55" t="str">
        <f t="shared" si="136"/>
        <v>8.0</v>
      </c>
    </row>
    <row r="98" ht="15.75" customHeight="1">
      <c r="E98" s="19" t="str">
        <f>Personal!G75</f>
        <v>-</v>
      </c>
      <c r="F98" s="19" t="s">
        <v>13</v>
      </c>
      <c r="G98" s="19" t="s">
        <v>41</v>
      </c>
      <c r="H98" s="51"/>
      <c r="I98" s="51"/>
      <c r="J98" s="51"/>
      <c r="K98" s="51" t="str">
        <f>IF(G98="AGENTE",Tabla1[[#This Row],[1 Inicio Almuerzo Lunes]]+0.042,IF(G98="REDES",Tabla1[[#This Row],[1 Inicio Almuerzo Lunes]]+0.042,IF(G98="AGENTE RM",Tabla1[[#This Row],[1 Inicio Almuerzo Lunes]]+0.042,IF(G98="AGENTE APERTURA",Tabla1[[#This Row],[1 Inicio Almuerzo Lunes]]+0.021,IF(G98="AGENTE CIERRE",Tabla1[[#This Row],[1 Inicio Almuerzo Lunes]]+0.021," - ")))))</f>
        <v>#ERROR!</v>
      </c>
      <c r="L98" s="51"/>
      <c r="M98" s="51" t="str">
        <f>IF(G98="AGENTE",Tabla1[[#This Row],[1 Incio Break 1 Lunes]]+0.014,IF(G98="REDES",Tabla1[[#This Row],[1 Incio Break 1 Lunes]]+0.014,IF(G98="AGENTE RM",Tabla1[[#This Row],[1 Incio Break 1 Lunes]]+0.014,IF(G98="AGENTE APERTURA",Tabla1[[#This Row],[1 Incio Break 1 Lunes]]+0.014,IF(G98="AGENTE CIERRE",Tabla1[[#This Row],[1 Incio Break 1 Lunes]]+0.014," - ")))))</f>
        <v>#ERROR!</v>
      </c>
      <c r="N98" s="51"/>
      <c r="O98" s="51" t="str">
        <f>IF(G98="AGENTE",Tabla1[[#This Row],[1 Incio Break 2 Lunes]]+0.007,IF(G98="REDES",Tabla1[[#This Row],[1 Incio Break 2 Lunes]]+0.007,IF(G98="AGENTE RM",Tabla1[[#This Row],[1 Incio Break 2 Lunes]]+0.007,IF(G98="AGENTE APERTURA",Tabla1[[#This Row],[1 Incio Break 2 Lunes]]+0.007,IF(G98="AGENTE CIERRE",Tabla1[[#This Row],[1 Incio Break 2 Lunes]]+0.007," - ")))))</f>
        <v>#ERROR!</v>
      </c>
      <c r="P98" s="52" t="str">
        <f t="shared" si="126"/>
        <v>-1.0</v>
      </c>
      <c r="Q98" s="51"/>
      <c r="R98" s="51"/>
      <c r="S98" s="53"/>
      <c r="T98" s="53" t="str">
        <f>IF(G98="AGENTE",Tabla1[[#This Row],[1 Inicio AlmuerzoSabado]]+0.042,IF(G98="REDES",Tabla1[[#This Row],[1 Inicio AlmuerzoSabado]]+0.042,IF(G98="AGENTE RM",Tabla1[[#This Row],[1 Inicio AlmuerzoSabado]]+0.042,IF(G98="AGENTE APERTURA",Tabla1[[#This Row],[1 Inicio AlmuerzoSabado]]+0.021,IF(G98="AGENTE CIERRE",Tabla1[[#This Row],[1 Inicio AlmuerzoSabado]]+0.021," - ")))))</f>
        <v>#ERROR!</v>
      </c>
      <c r="U98" s="51"/>
      <c r="V98" s="51"/>
      <c r="W98" s="53"/>
      <c r="X98" s="53"/>
      <c r="Y98" s="52" t="str">
        <f t="shared" si="129"/>
        <v>0.0</v>
      </c>
      <c r="Z98" s="52" t="str">
        <f t="shared" ref="Z98:AC98" si="137">$P98</f>
        <v>-1.0</v>
      </c>
      <c r="AA98" s="52" t="str">
        <f t="shared" si="137"/>
        <v>-1.0</v>
      </c>
      <c r="AB98" s="52" t="str">
        <f t="shared" si="137"/>
        <v>-1.0</v>
      </c>
      <c r="AC98" s="52" t="str">
        <f t="shared" si="137"/>
        <v>-1.0</v>
      </c>
    </row>
    <row r="99" ht="15.75" customHeight="1">
      <c r="E99" s="19" t="str">
        <f>Personal!G76</f>
        <v>Cristian Manuel Lopez Chavez</v>
      </c>
      <c r="F99" s="19" t="s">
        <v>13</v>
      </c>
      <c r="G99" s="19" t="str">
        <f>Personal!H76</f>
        <v>AGENTE</v>
      </c>
      <c r="H99" s="54">
        <v>0.2916666666666667</v>
      </c>
      <c r="I99" s="54" t="str">
        <f>IF(H99=0," ",IF(Q99=0,(H99+0.417),(H99+0.3756)))</f>
        <v>16:00</v>
      </c>
      <c r="J99" s="54">
        <v>0.5</v>
      </c>
      <c r="K99" s="54" t="str">
        <f>IF(G99="AGENTE",Tabla1[[#This Row],[1 Inicio Almuerzo Lunes]]+0.042,IF(G99="REDES",Tabla1[[#This Row],[1 Inicio Almuerzo Lunes]]+0.042,IF(G99="AGENTE RM",Tabla1[[#This Row],[1 Inicio Almuerzo Lunes]]+0.042,IF(G99="AGENTE APERTURA",Tabla1[[#This Row],[1 Inicio Almuerzo Lunes]]+0.021,IF(G99="AGENTE CIERRE",Tabla1[[#This Row],[1 Inicio Almuerzo Lunes]]+0.021," - ")))))</f>
        <v>#ERROR!</v>
      </c>
      <c r="L99" s="54">
        <v>0.3645833333333333</v>
      </c>
      <c r="M99" s="54" t="str">
        <f>IF(G99="AGENTE",Tabla1[[#This Row],[1 Incio Break 1 Lunes]]+0.014,IF(G99="REDES",Tabla1[[#This Row],[1 Incio Break 1 Lunes]]+0.014,IF(G99="AGENTE RM",Tabla1[[#This Row],[1 Incio Break 1 Lunes]]+0.014,IF(G99="AGENTE APERTURA",Tabla1[[#This Row],[1 Incio Break 1 Lunes]]+0.014,IF(G99="AGENTE CIERRE",Tabla1[[#This Row],[1 Incio Break 1 Lunes]]+0.014," - ")))))</f>
        <v>#ERROR!</v>
      </c>
      <c r="N99" s="54">
        <v>0.6458333333333334</v>
      </c>
      <c r="O99" s="54" t="str">
        <f>IF(G99="AGENTE",Tabla1[[#This Row],[1 Incio Break 2 Lunes]]+0.007,IF(G99="REDES",Tabla1[[#This Row],[1 Incio Break 2 Lunes]]+0.007,IF(G99="AGENTE RM",Tabla1[[#This Row],[1 Incio Break 2 Lunes]]+0.007,IF(G99="AGENTE APERTURA",Tabla1[[#This Row],[1 Incio Break 2 Lunes]]+0.007,IF(G99="AGENTE CIERRE",Tabla1[[#This Row],[1 Incio Break 2 Lunes]]+0.007," - ")))))</f>
        <v>#ERROR!</v>
      </c>
      <c r="P99" s="55" t="str">
        <f t="shared" si="126"/>
        <v>8.0</v>
      </c>
      <c r="Q99" s="54">
        <v>0.5</v>
      </c>
      <c r="R99" s="54" t="str">
        <f>IF(Q99=0,"",Q99+0.209)</f>
        <v>17:00</v>
      </c>
      <c r="S99" s="56"/>
      <c r="T99" s="56"/>
      <c r="U99" s="54">
        <v>0.5</v>
      </c>
      <c r="V99" s="54" t="str">
        <f>IF(U99=0,"",U99+0.021)</f>
        <v>12:30</v>
      </c>
      <c r="W99" s="56"/>
      <c r="X99" s="56"/>
      <c r="Y99" s="55" t="str">
        <f t="shared" si="129"/>
        <v>5.0</v>
      </c>
      <c r="Z99" s="55" t="str">
        <f t="shared" ref="Z99:AC99" si="138">$P99</f>
        <v>8.0</v>
      </c>
      <c r="AA99" s="55" t="str">
        <f t="shared" si="138"/>
        <v>8.0</v>
      </c>
      <c r="AB99" s="55" t="str">
        <f t="shared" si="138"/>
        <v>8.0</v>
      </c>
      <c r="AC99" s="55" t="str">
        <f t="shared" si="138"/>
        <v>8.0</v>
      </c>
    </row>
    <row r="100" ht="15.75" customHeight="1">
      <c r="E100" s="19" t="str">
        <f>Personal!G77</f>
        <v>-</v>
      </c>
      <c r="F100" s="19" t="s">
        <v>13</v>
      </c>
      <c r="G100" s="19" t="s">
        <v>41</v>
      </c>
      <c r="H100" s="51"/>
      <c r="I100" s="51"/>
      <c r="J100" s="51"/>
      <c r="K100" s="51" t="str">
        <f>IF(G100="AGENTE",Tabla1[[#This Row],[1 Inicio Almuerzo Lunes]]+0.042,IF(G100="REDES",Tabla1[[#This Row],[1 Inicio Almuerzo Lunes]]+0.042,IF(G100="AGENTE RM",Tabla1[[#This Row],[1 Inicio Almuerzo Lunes]]+0.042,IF(G100="AGENTE APERTURA",Tabla1[[#This Row],[1 Inicio Almuerzo Lunes]]+0.021,IF(G100="AGENTE CIERRE",Tabla1[[#This Row],[1 Inicio Almuerzo Lunes]]+0.021," - ")))))</f>
        <v>#ERROR!</v>
      </c>
      <c r="L100" s="51"/>
      <c r="M100" s="51" t="str">
        <f>IF(G100="AGENTE",Tabla1[[#This Row],[1 Incio Break 1 Lunes]]+0.014,IF(G100="REDES",Tabla1[[#This Row],[1 Incio Break 1 Lunes]]+0.014,IF(G100="AGENTE RM",Tabla1[[#This Row],[1 Incio Break 1 Lunes]]+0.014,IF(G100="AGENTE APERTURA",Tabla1[[#This Row],[1 Incio Break 1 Lunes]]+0.014,IF(G100="AGENTE CIERRE",Tabla1[[#This Row],[1 Incio Break 1 Lunes]]+0.014," - ")))))</f>
        <v>#ERROR!</v>
      </c>
      <c r="N100" s="51"/>
      <c r="O100" s="51" t="str">
        <f>IF(G100="AGENTE",Tabla1[[#This Row],[1 Incio Break 2 Lunes]]+0.007,IF(G100="REDES",Tabla1[[#This Row],[1 Incio Break 2 Lunes]]+0.007,IF(G100="AGENTE RM",Tabla1[[#This Row],[1 Incio Break 2 Lunes]]+0.007,IF(G100="AGENTE APERTURA",Tabla1[[#This Row],[1 Incio Break 2 Lunes]]+0.007,IF(G100="AGENTE CIERRE",Tabla1[[#This Row],[1 Incio Break 2 Lunes]]+0.007," - ")))))</f>
        <v>#ERROR!</v>
      </c>
      <c r="P100" s="52" t="str">
        <f t="shared" si="126"/>
        <v>-1.0</v>
      </c>
      <c r="Q100" s="51"/>
      <c r="R100" s="51"/>
      <c r="S100" s="53"/>
      <c r="T100" s="53" t="str">
        <f>IF(G100="AGENTE",Tabla1[[#This Row],[1 Inicio AlmuerzoSabado]]+0.042,IF(G100="REDES",Tabla1[[#This Row],[1 Inicio AlmuerzoSabado]]+0.042,IF(G100="AGENTE RM",Tabla1[[#This Row],[1 Inicio AlmuerzoSabado]]+0.042,IF(G100="AGENTE APERTURA",Tabla1[[#This Row],[1 Inicio AlmuerzoSabado]]+0.021,IF(G100="AGENTE CIERRE",Tabla1[[#This Row],[1 Inicio AlmuerzoSabado]]+0.021," - ")))))</f>
        <v>#ERROR!</v>
      </c>
      <c r="U100" s="51"/>
      <c r="V100" s="51"/>
      <c r="W100" s="53"/>
      <c r="X100" s="53"/>
      <c r="Y100" s="52" t="str">
        <f t="shared" si="129"/>
        <v>0.0</v>
      </c>
      <c r="Z100" s="52" t="str">
        <f t="shared" ref="Z100:AC100" si="139">$P100</f>
        <v>-1.0</v>
      </c>
      <c r="AA100" s="52" t="str">
        <f t="shared" si="139"/>
        <v>-1.0</v>
      </c>
      <c r="AB100" s="52" t="str">
        <f t="shared" si="139"/>
        <v>-1.0</v>
      </c>
      <c r="AC100" s="52" t="str">
        <f t="shared" si="139"/>
        <v>-1.0</v>
      </c>
    </row>
    <row r="101" ht="15.75" customHeight="1">
      <c r="E101" s="19" t="str">
        <f>Personal!G78</f>
        <v>Melanee Sucely Lopez Castro</v>
      </c>
      <c r="F101" s="19" t="s">
        <v>13</v>
      </c>
      <c r="G101" s="19" t="str">
        <f>Personal!H78</f>
        <v>AGENTE</v>
      </c>
      <c r="H101" s="54">
        <v>0.3125</v>
      </c>
      <c r="I101" s="54" t="str">
        <f t="shared" ref="I101:I102" si="141">IF(H101=0," ",IF(Q101=0,(H101+0.417),(H101+0.3756)))</f>
        <v>16:30</v>
      </c>
      <c r="J101" s="54">
        <v>0.5416666666666666</v>
      </c>
      <c r="K101" s="54" t="str">
        <f>IF(G101="AGENTE",Tabla1[[#This Row],[1 Inicio Almuerzo Lunes]]+0.042,IF(G101="REDES",Tabla1[[#This Row],[1 Inicio Almuerzo Lunes]]+0.042,IF(G101="AGENTE RM",Tabla1[[#This Row],[1 Inicio Almuerzo Lunes]]+0.042,IF(G101="AGENTE APERTURA",Tabla1[[#This Row],[1 Inicio Almuerzo Lunes]]+0.021,IF(G101="AGENTE CIERRE",Tabla1[[#This Row],[1 Inicio Almuerzo Lunes]]+0.021," - ")))))</f>
        <v>#ERROR!</v>
      </c>
      <c r="L101" s="54">
        <v>0.3645833333333333</v>
      </c>
      <c r="M101" s="54" t="str">
        <f>IF(G101="AGENTE",Tabla1[[#This Row],[1 Incio Break 1 Lunes]]+0.014,IF(G101="REDES",Tabla1[[#This Row],[1 Incio Break 1 Lunes]]+0.014,IF(G101="AGENTE RM",Tabla1[[#This Row],[1 Incio Break 1 Lunes]]+0.014,IF(G101="AGENTE APERTURA",Tabla1[[#This Row],[1 Incio Break 1 Lunes]]+0.014,IF(G101="AGENTE CIERRE",Tabla1[[#This Row],[1 Incio Break 1 Lunes]]+0.014," - ")))))</f>
        <v>#ERROR!</v>
      </c>
      <c r="N101" s="54">
        <v>0.625</v>
      </c>
      <c r="O101" s="54" t="str">
        <f>IF(G101="AGENTE",Tabla1[[#This Row],[1 Incio Break 2 Lunes]]+0.007,IF(G101="REDES",Tabla1[[#This Row],[1 Incio Break 2 Lunes]]+0.007,IF(G101="AGENTE RM",Tabla1[[#This Row],[1 Incio Break 2 Lunes]]+0.007,IF(G101="AGENTE APERTURA",Tabla1[[#This Row],[1 Incio Break 2 Lunes]]+0.007,IF(G101="AGENTE CIERRE",Tabla1[[#This Row],[1 Incio Break 2 Lunes]]+0.007," - ")))))</f>
        <v>#ERROR!</v>
      </c>
      <c r="P101" s="55" t="str">
        <f t="shared" si="126"/>
        <v>8.0</v>
      </c>
      <c r="Q101" s="54">
        <v>0.3333333333333333</v>
      </c>
      <c r="R101" s="54" t="str">
        <f t="shared" ref="R101:R102" si="142">IF(Q101=0,"",Q101+0.209)</f>
        <v>13:00</v>
      </c>
      <c r="S101" s="54"/>
      <c r="T101" s="54"/>
      <c r="U101" s="54">
        <v>0.4166666666666667</v>
      </c>
      <c r="V101" s="54" t="str">
        <f t="shared" ref="V101:V104" si="143">IF(U101=0,"",U101+0.021)</f>
        <v>10:30</v>
      </c>
      <c r="W101" s="54"/>
      <c r="X101" s="54"/>
      <c r="Y101" s="55" t="str">
        <f t="shared" si="129"/>
        <v>5.0</v>
      </c>
      <c r="Z101" s="55" t="str">
        <f t="shared" ref="Z101:AC101" si="140">$P101</f>
        <v>8.0</v>
      </c>
      <c r="AA101" s="55" t="str">
        <f t="shared" si="140"/>
        <v>8.0</v>
      </c>
      <c r="AB101" s="55" t="str">
        <f t="shared" si="140"/>
        <v>8.0</v>
      </c>
      <c r="AC101" s="55" t="str">
        <f t="shared" si="140"/>
        <v>8.0</v>
      </c>
    </row>
    <row r="102" ht="15.75" customHeight="1">
      <c r="E102" s="19" t="str">
        <f>Personal!G79</f>
        <v>Byron Estuardo Grijalva Salguero</v>
      </c>
      <c r="F102" s="19" t="s">
        <v>13</v>
      </c>
      <c r="G102" s="19" t="str">
        <f>Personal!H79</f>
        <v>AGENTE</v>
      </c>
      <c r="H102" s="51">
        <v>0.375</v>
      </c>
      <c r="I102" s="51" t="str">
        <f t="shared" si="141"/>
        <v>18:00</v>
      </c>
      <c r="J102" s="51">
        <v>0.5833333333333334</v>
      </c>
      <c r="K102" s="51" t="str">
        <f>IF(G102="AGENTE",Tabla1[[#This Row],[1 Inicio Almuerzo Lunes]]+0.042,IF(G102="REDES",Tabla1[[#This Row],[1 Inicio Almuerzo Lunes]]+0.042,IF(G102="AGENTE RM",Tabla1[[#This Row],[1 Inicio Almuerzo Lunes]]+0.042,IF(G102="AGENTE APERTURA",Tabla1[[#This Row],[1 Inicio Almuerzo Lunes]]+0.021,IF(G102="AGENTE CIERRE",Tabla1[[#This Row],[1 Inicio Almuerzo Lunes]]+0.021," - ")))))</f>
        <v>#ERROR!</v>
      </c>
      <c r="L102" s="51">
        <v>0.40625</v>
      </c>
      <c r="M102" s="51" t="str">
        <f>IF(G102="AGENTE",Tabla1[[#This Row],[1 Incio Break 1 Lunes]]+0.014,IF(G102="REDES",Tabla1[[#This Row],[1 Incio Break 1 Lunes]]+0.014,IF(G102="AGENTE RM",Tabla1[[#This Row],[1 Incio Break 1 Lunes]]+0.014,IF(G102="AGENTE APERTURA",Tabla1[[#This Row],[1 Incio Break 1 Lunes]]+0.014,IF(G102="AGENTE CIERRE",Tabla1[[#This Row],[1 Incio Break 1 Lunes]]+0.014," - ")))))</f>
        <v>#ERROR!</v>
      </c>
      <c r="N102" s="51">
        <v>0.6979166666666666</v>
      </c>
      <c r="O102" s="51" t="str">
        <f>IF(G102="AGENTE",Tabla1[[#This Row],[1 Incio Break 2 Lunes]]+0.007,IF(G102="REDES",Tabla1[[#This Row],[1 Incio Break 2 Lunes]]+0.007,IF(G102="AGENTE RM",Tabla1[[#This Row],[1 Incio Break 2 Lunes]]+0.007,IF(G102="AGENTE APERTURA",Tabla1[[#This Row],[1 Incio Break 2 Lunes]]+0.007,IF(G102="AGENTE CIERRE",Tabla1[[#This Row],[1 Incio Break 2 Lunes]]+0.007," - ")))))</f>
        <v>#ERROR!</v>
      </c>
      <c r="P102" s="52" t="str">
        <f t="shared" si="126"/>
        <v>8.0</v>
      </c>
      <c r="Q102" s="51">
        <v>0.2916666666666667</v>
      </c>
      <c r="R102" s="51" t="str">
        <f t="shared" si="142"/>
        <v>12:00</v>
      </c>
      <c r="S102" s="53"/>
      <c r="T102" s="53"/>
      <c r="U102" s="51">
        <v>0.3958333333333333</v>
      </c>
      <c r="V102" s="51" t="str">
        <f t="shared" si="143"/>
        <v>10:00</v>
      </c>
      <c r="W102" s="53"/>
      <c r="X102" s="53"/>
      <c r="Y102" s="52" t="str">
        <f t="shared" si="129"/>
        <v>5.0</v>
      </c>
      <c r="Z102" s="52" t="str">
        <f t="shared" ref="Z102:AC102" si="144">$P102</f>
        <v>8.0</v>
      </c>
      <c r="AA102" s="52" t="str">
        <f t="shared" si="144"/>
        <v>8.0</v>
      </c>
      <c r="AB102" s="52" t="str">
        <f t="shared" si="144"/>
        <v>8.0</v>
      </c>
      <c r="AC102" s="52" t="str">
        <f t="shared" si="144"/>
        <v>8.0</v>
      </c>
    </row>
    <row r="103" ht="15.75" customHeight="1">
      <c r="E103" s="19" t="str">
        <f>Personal!G80</f>
        <v>Katherine Johana Chavez Deleon</v>
      </c>
      <c r="F103" s="19" t="s">
        <v>13</v>
      </c>
      <c r="G103" s="19" t="str">
        <f>Personal!H80</f>
        <v>AGENTE CIERRE</v>
      </c>
      <c r="H103" s="54">
        <v>0.6666666666666666</v>
      </c>
      <c r="I103" s="54">
        <v>0.9583333333333334</v>
      </c>
      <c r="J103" s="54">
        <v>0.875</v>
      </c>
      <c r="K103" s="54" t="str">
        <f>IF(G103="AGENTE",Tabla1[[#This Row],[1 Inicio Almuerzo Lunes]]+0.042,IF(G103="REDES",Tabla1[[#This Row],[1 Inicio Almuerzo Lunes]]+0.042,IF(G103="AGENTE RM",Tabla1[[#This Row],[1 Inicio Almuerzo Lunes]]+0.042,IF(G103="AGENTE APERTURA",Tabla1[[#This Row],[1 Inicio Almuerzo Lunes]]+0.021,IF(G103="AGENTE CIERRE",Tabla1[[#This Row],[1 Inicio Almuerzo Lunes]]+0.021," - ")))))</f>
        <v>#ERROR!</v>
      </c>
      <c r="L103" s="54">
        <v>0.8958333333333334</v>
      </c>
      <c r="M103" s="54" t="str">
        <f>IF(G103="AGENTE",Tabla1[[#This Row],[1 Incio Break 1 Lunes]]+0.014,IF(G103="REDES",Tabla1[[#This Row],[1 Incio Break 1 Lunes]]+0.014,IF(G103="AGENTE RM",Tabla1[[#This Row],[1 Incio Break 1 Lunes]]+0.014,IF(G103="AGENTE APERTURA",Tabla1[[#This Row],[1 Incio Break 1 Lunes]]+0.014,IF(G103="AGENTE CIERRE",Tabla1[[#This Row],[1 Incio Break 1 Lunes]]+0.014," - ")))))</f>
        <v>#ERROR!</v>
      </c>
      <c r="N103" s="54">
        <v>0.9097222222222222</v>
      </c>
      <c r="O103" s="54" t="str">
        <f>IF(G103="AGENTE",Tabla1[[#This Row],[1 Incio Break 2 Lunes]]+0.007,IF(G103="REDES",Tabla1[[#This Row],[1 Incio Break 2 Lunes]]+0.007,IF(G103="AGENTE RM",Tabla1[[#This Row],[1 Incio Break 2 Lunes]]+0.007,IF(G103="AGENTE APERTURA",Tabla1[[#This Row],[1 Incio Break 2 Lunes]]+0.007,IF(G103="AGENTE CIERRE",Tabla1[[#This Row],[1 Incio Break 2 Lunes]]+0.007," - ")))))</f>
        <v>#ERROR!</v>
      </c>
      <c r="P103" s="55" t="str">
        <f t="shared" si="126"/>
        <v>6.0</v>
      </c>
      <c r="Q103" s="54">
        <v>0.6666666666666666</v>
      </c>
      <c r="R103" s="54">
        <v>0.9583333333333334</v>
      </c>
      <c r="S103" s="54">
        <v>0.875</v>
      </c>
      <c r="T103" s="54" t="str">
        <f>IF(G103="AGENTE",Tabla1[[#This Row],[1 Inicio AlmuerzoSabado]]+0.042,IF(G103="REDES",Tabla1[[#This Row],[1 Inicio AlmuerzoSabado]]+0.042,IF(G103="AGENTE RM",Tabla1[[#This Row],[1 Inicio AlmuerzoSabado]]+0.042,IF(G103="AGENTE APERTURA",Tabla1[[#This Row],[1 Inicio AlmuerzoSabado]]+0.021,IF(G103="AGENTE CIERRE",Tabla1[[#This Row],[1 Inicio AlmuerzoSabado]]+0.021," - ")))))</f>
        <v>#ERROR!</v>
      </c>
      <c r="U103" s="54">
        <v>0.8958333333333334</v>
      </c>
      <c r="V103" s="54" t="str">
        <f t="shared" si="143"/>
        <v>22:00</v>
      </c>
      <c r="W103" s="54">
        <v>0.9097222222222222</v>
      </c>
      <c r="X103" s="54" t="str">
        <f>IF(G103="AGENTE",Tabla1[[#This Row],[1 Incio Break 2 Sabado]]+0.007,IF(G103="REDES",Tabla1[[#This Row],[1 Incio Break 2 Sabado]]+0.007,IF(G103="AGENTE RM",Tabla1[[#This Row],[1 Incio Break 2 Sabado]]+0.007,IF(G103="AGENTE APERTURA",Tabla1[[#This Row],[1 Incio Break 2 Sabado]]+0.007,IF(G103="AGENTE CIERRE",Tabla1[[#This Row],[1 Incio Break 2 Sabado]]+0.007," - ")))))</f>
        <v>#ERROR!</v>
      </c>
      <c r="Y103" s="55" t="str">
        <f t="shared" si="129"/>
        <v>7.0</v>
      </c>
      <c r="Z103" s="55" t="str">
        <f t="shared" ref="Z103:AC103" si="145">$P103</f>
        <v>6.0</v>
      </c>
      <c r="AA103" s="55" t="str">
        <f t="shared" si="145"/>
        <v>6.0</v>
      </c>
      <c r="AB103" s="55" t="str">
        <f t="shared" si="145"/>
        <v>6.0</v>
      </c>
      <c r="AC103" s="55" t="str">
        <f t="shared" si="145"/>
        <v>6.0</v>
      </c>
    </row>
    <row r="104" ht="15.75" customHeight="1">
      <c r="E104" s="19" t="str">
        <f>Personal!G81</f>
        <v>Cinthia Marbelly Lopez Zelada</v>
      </c>
      <c r="F104" s="19" t="s">
        <v>13</v>
      </c>
      <c r="G104" s="19" t="str">
        <f>Personal!H81</f>
        <v>AGENTE</v>
      </c>
      <c r="H104" s="51">
        <v>0.375</v>
      </c>
      <c r="I104" s="51" t="str">
        <f>IF(H104=0," ",IF(Q104=0,(H104+0.417),(H104+0.3756)))</f>
        <v>18:00</v>
      </c>
      <c r="J104" s="51">
        <v>0.5833333333333334</v>
      </c>
      <c r="K104" s="51" t="str">
        <f>IF(G104="AGENTE",Tabla1[[#This Row],[1 Inicio Almuerzo Lunes]]+0.042,IF(G104="REDES",Tabla1[[#This Row],[1 Inicio Almuerzo Lunes]]+0.042,IF(G104="AGENTE RM",Tabla1[[#This Row],[1 Inicio Almuerzo Lunes]]+0.042,IF(G104="AGENTE APERTURA",Tabla1[[#This Row],[1 Inicio Almuerzo Lunes]]+0.021,IF(G104="AGENTE CIERRE",Tabla1[[#This Row],[1 Inicio Almuerzo Lunes]]+0.021," - ")))))</f>
        <v>#ERROR!</v>
      </c>
      <c r="L104" s="51">
        <v>0.40625</v>
      </c>
      <c r="M104" s="51" t="str">
        <f>IF(G104="AGENTE",Tabla1[[#This Row],[1 Incio Break 1 Lunes]]+0.014,IF(G104="REDES",Tabla1[[#This Row],[1 Incio Break 1 Lunes]]+0.014,IF(G104="AGENTE RM",Tabla1[[#This Row],[1 Incio Break 1 Lunes]]+0.014,IF(G104="AGENTE APERTURA",Tabla1[[#This Row],[1 Incio Break 1 Lunes]]+0.014,IF(G104="AGENTE CIERRE",Tabla1[[#This Row],[1 Incio Break 1 Lunes]]+0.014," - ")))))</f>
        <v>#ERROR!</v>
      </c>
      <c r="N104" s="51">
        <v>0.6979166666666666</v>
      </c>
      <c r="O104" s="51" t="str">
        <f>IF(G104="AGENTE",Tabla1[[#This Row],[1 Incio Break 2 Lunes]]+0.007,IF(G104="REDES",Tabla1[[#This Row],[1 Incio Break 2 Lunes]]+0.007,IF(G104="AGENTE RM",Tabla1[[#This Row],[1 Incio Break 2 Lunes]]+0.007,IF(G104="AGENTE APERTURA",Tabla1[[#This Row],[1 Incio Break 2 Lunes]]+0.007,IF(G104="AGENTE CIERRE",Tabla1[[#This Row],[1 Incio Break 2 Lunes]]+0.007," - ")))))</f>
        <v>#ERROR!</v>
      </c>
      <c r="P104" s="52" t="str">
        <f t="shared" si="126"/>
        <v>8.0</v>
      </c>
      <c r="Q104" s="51">
        <v>0.4583333333333333</v>
      </c>
      <c r="R104" s="51" t="str">
        <f>IF(Q104=0,"",Q104+0.209)</f>
        <v>16:00</v>
      </c>
      <c r="S104" s="53"/>
      <c r="T104" s="53"/>
      <c r="U104" s="51">
        <v>0.5833333333333334</v>
      </c>
      <c r="V104" s="51" t="str">
        <f t="shared" si="143"/>
        <v>14:30</v>
      </c>
      <c r="W104" s="53"/>
      <c r="X104" s="53"/>
      <c r="Y104" s="52" t="str">
        <f t="shared" si="129"/>
        <v>5.0</v>
      </c>
      <c r="Z104" s="52" t="str">
        <f t="shared" ref="Z104:AC104" si="146">$P104</f>
        <v>8.0</v>
      </c>
      <c r="AA104" s="52" t="str">
        <f t="shared" si="146"/>
        <v>8.0</v>
      </c>
      <c r="AB104" s="52" t="str">
        <f t="shared" si="146"/>
        <v>8.0</v>
      </c>
      <c r="AC104" s="52" t="str">
        <f t="shared" si="146"/>
        <v>8.0</v>
      </c>
    </row>
    <row r="105" ht="15.75" customHeight="1">
      <c r="E105" s="19" t="str">
        <f>Personal!G82</f>
        <v>-</v>
      </c>
      <c r="F105" s="19" t="s">
        <v>13</v>
      </c>
      <c r="G105" s="19"/>
      <c r="H105" s="54"/>
      <c r="I105" s="54"/>
      <c r="J105" s="54"/>
      <c r="K105" s="54" t="str">
        <f>IF(G105="AGENTE",Tabla1[[#This Row],[1 Inicio Almuerzo Lunes]]+0.042,IF(G105="REDES",Tabla1[[#This Row],[1 Inicio Almuerzo Lunes]]+0.042,IF(G105="AGENTE RM",Tabla1[[#This Row],[1 Inicio Almuerzo Lunes]]+0.042,IF(G105="AGENTE APERTURA",Tabla1[[#This Row],[1 Inicio Almuerzo Lunes]]+0.021,IF(G105="AGENTE CIERRE",Tabla1[[#This Row],[1 Inicio Almuerzo Lunes]]+0.021," - ")))))</f>
        <v>#ERROR!</v>
      </c>
      <c r="L105" s="54"/>
      <c r="M105" s="54" t="str">
        <f>IF(G105="AGENTE",Tabla1[[#This Row],[1 Incio Break 1 Lunes]]+0.014,IF(G105="REDES",Tabla1[[#This Row],[1 Incio Break 1 Lunes]]+0.014,IF(G105="AGENTE RM",Tabla1[[#This Row],[1 Incio Break 1 Lunes]]+0.014,IF(G105="AGENTE APERTURA",Tabla1[[#This Row],[1 Incio Break 1 Lunes]]+0.014,IF(G105="AGENTE CIERRE",Tabla1[[#This Row],[1 Incio Break 1 Lunes]]+0.014," - ")))))</f>
        <v>#ERROR!</v>
      </c>
      <c r="N105" s="54"/>
      <c r="O105" s="54" t="str">
        <f>IF(G105="AGENTE",Tabla1[[#This Row],[1 Incio Break 2 Lunes]]+0.007,IF(G105="REDES",Tabla1[[#This Row],[1 Incio Break 2 Lunes]]+0.007,IF(G105="AGENTE RM",Tabla1[[#This Row],[1 Incio Break 2 Lunes]]+0.007,IF(G105="AGENTE APERTURA",Tabla1[[#This Row],[1 Incio Break 2 Lunes]]+0.007,IF(G105="AGENTE CIERRE",Tabla1[[#This Row],[1 Incio Break 2 Lunes]]+0.007," - ")))))</f>
        <v>#ERROR!</v>
      </c>
      <c r="P105" s="55"/>
      <c r="Q105" s="54"/>
      <c r="R105" s="54"/>
      <c r="S105" s="54"/>
      <c r="T105" s="54"/>
      <c r="U105" s="54"/>
      <c r="V105" s="54"/>
      <c r="W105" s="54"/>
      <c r="X105" s="54"/>
      <c r="Y105" s="55"/>
      <c r="Z105" s="55"/>
      <c r="AA105" s="55"/>
      <c r="AB105" s="55"/>
      <c r="AC105" s="55"/>
    </row>
    <row r="106" ht="15.75" customHeight="1">
      <c r="E106" t="s">
        <v>83</v>
      </c>
      <c r="G106" s="42" t="str">
        <f>COUNTIF(I$6:I$34,"15:30")</f>
        <v>0</v>
      </c>
      <c r="J106" s="45" t="s">
        <v>69</v>
      </c>
      <c r="K106" s="46" t="str">
        <f>COUNTIF(J$9:J$34,"14:30")</f>
        <v>0</v>
      </c>
      <c r="L106" s="45" t="s">
        <v>70</v>
      </c>
      <c r="M106" s="46" t="str">
        <f>COUNTIF(L$6:L$34,"8:30")</f>
        <v>1</v>
      </c>
      <c r="N106" s="45" t="s">
        <v>71</v>
      </c>
      <c r="O106" s="46" t="str">
        <f>COUNTIF(N$6:N$34,"15:45")</f>
        <v>1</v>
      </c>
      <c r="U106" t="s">
        <v>72</v>
      </c>
      <c r="V106" t="str">
        <f>COUNTIF(U$6:U$30,"10:00")</f>
        <v>1</v>
      </c>
    </row>
    <row r="107" ht="15.75" customHeight="1">
      <c r="E107" t="s">
        <v>88</v>
      </c>
      <c r="G107" s="42" t="str">
        <f>COUNTIF(I$6:I$34,"16:00")</f>
        <v>0</v>
      </c>
      <c r="J107" s="45" t="s">
        <v>74</v>
      </c>
      <c r="K107" s="46" t="str">
        <f>COUNTIF(J$9:J$34,"15:00")</f>
        <v>2</v>
      </c>
      <c r="L107" s="45" t="s">
        <v>75</v>
      </c>
      <c r="M107" s="46" t="str">
        <f>COUNTIF(L$6:L$34,"8:45")</f>
        <v>0</v>
      </c>
      <c r="N107" s="45" t="s">
        <v>76</v>
      </c>
      <c r="O107" s="46" t="str">
        <f>COUNTIF(N$6:N$34,"16:00")</f>
        <v>1</v>
      </c>
      <c r="U107" t="s">
        <v>77</v>
      </c>
      <c r="V107" t="str">
        <f>COUNTIF(U$6:U$30,"10:30")</f>
        <v>2</v>
      </c>
    </row>
    <row r="108" ht="15.75" customHeight="1">
      <c r="E108" t="s">
        <v>92</v>
      </c>
      <c r="G108" s="42" t="str">
        <f>COUNTIF(I$6:I$34,"16:30")</f>
        <v>0</v>
      </c>
      <c r="J108" s="45" t="s">
        <v>79</v>
      </c>
      <c r="K108" s="46" t="str">
        <f>COUNTIF(J$9:J$34,"15:30")</f>
        <v>0</v>
      </c>
      <c r="L108" s="45" t="s">
        <v>80</v>
      </c>
      <c r="M108" s="46" t="str">
        <f>COUNTIF(L$6:L$34,"9:00")</f>
        <v>0</v>
      </c>
      <c r="N108" s="45" t="s">
        <v>81</v>
      </c>
      <c r="O108" s="46" t="str">
        <f>COUNTIF(N$6:N$34,"16:15")</f>
        <v>0</v>
      </c>
      <c r="U108" t="s">
        <v>82</v>
      </c>
      <c r="V108" t="str">
        <f>COUNTIF(U$6:U$30,"11:00")</f>
        <v>1</v>
      </c>
    </row>
    <row r="109" ht="15.75" customHeight="1">
      <c r="E109" t="s">
        <v>96</v>
      </c>
      <c r="G109" s="42" t="str">
        <f>COUNTIF(I$6:I$34,"17:00")</f>
        <v>0</v>
      </c>
      <c r="J109" s="45" t="s">
        <v>84</v>
      </c>
      <c r="K109" s="46" t="str">
        <f>COUNTIF(J$9:J$34,"16:00")</f>
        <v>0</v>
      </c>
      <c r="L109" s="45" t="s">
        <v>85</v>
      </c>
      <c r="M109" s="46" t="str">
        <f>COUNTIF(L$6:L$34,"9:15")</f>
        <v>1</v>
      </c>
      <c r="N109" s="45" t="s">
        <v>86</v>
      </c>
      <c r="O109" s="46" t="str">
        <f>COUNTIF(N$6:N$34,"16:30")</f>
        <v>0</v>
      </c>
      <c r="U109" t="s">
        <v>87</v>
      </c>
      <c r="V109" t="str">
        <f>COUNTIF(U$6:U$30,"11:30")</f>
        <v>0</v>
      </c>
    </row>
    <row r="110" ht="15.75" customHeight="1">
      <c r="E110" t="s">
        <v>98</v>
      </c>
      <c r="G110" s="42" t="str">
        <f>COUNTIF(I$6:I$34,"18:00")</f>
        <v>0</v>
      </c>
      <c r="J110" s="45" t="s">
        <v>89</v>
      </c>
      <c r="K110" s="46"/>
      <c r="L110" s="45" t="s">
        <v>90</v>
      </c>
      <c r="M110" s="46" t="str">
        <f>COUNTIF(L$6:L$34,"9:30")</f>
        <v>1</v>
      </c>
      <c r="N110" s="45" t="s">
        <v>91</v>
      </c>
      <c r="O110" s="46" t="str">
        <f>COUNTIF(N$6:N$34,"16:45")</f>
        <v>1</v>
      </c>
    </row>
    <row r="111" ht="15.75" customHeight="1">
      <c r="J111" s="47" t="s">
        <v>93</v>
      </c>
      <c r="K111" s="48"/>
      <c r="L111" s="47" t="s">
        <v>94</v>
      </c>
      <c r="M111" s="48" t="str">
        <f>COUNTIF(L$6:L$34,"9:45")</f>
        <v>0</v>
      </c>
      <c r="N111" s="47" t="s">
        <v>95</v>
      </c>
      <c r="O111" s="48" t="str">
        <f>COUNTIF(N$6:N$34,"17:00")</f>
        <v>0</v>
      </c>
      <c r="V111" s="57" t="str">
        <f>SUM(V101:V109)</f>
        <v>9:00</v>
      </c>
    </row>
    <row r="112" ht="15.75" customHeight="1">
      <c r="K112" s="42" t="str">
        <f>SUM(K101:K110)</f>
        <v>#ERROR!</v>
      </c>
      <c r="L112" s="42"/>
      <c r="M112" s="42" t="str">
        <f>SUM(M101:M111)</f>
        <v>#ERROR!</v>
      </c>
      <c r="N112" s="42"/>
      <c r="O112" s="42" t="str">
        <f>SUM(O101:O111)</f>
        <v>#ERROR!</v>
      </c>
    </row>
  </sheetData>
  <mergeCells count="13">
    <mergeCell ref="H3:P3"/>
    <mergeCell ref="Q3:Y3"/>
    <mergeCell ref="Q4:R4"/>
    <mergeCell ref="S4:T4"/>
    <mergeCell ref="U4:V4"/>
    <mergeCell ref="W4:X4"/>
    <mergeCell ref="B3:B5"/>
    <mergeCell ref="C3:C5"/>
    <mergeCell ref="D3:D5"/>
    <mergeCell ref="H4:I4"/>
    <mergeCell ref="J4:K4"/>
    <mergeCell ref="L4:M4"/>
    <mergeCell ref="N4:O4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5.0" topLeftCell="F6" activePane="bottomRight" state="frozen"/>
      <selection activeCell="F1" sqref="F1" pane="topRight"/>
      <selection activeCell="A6" sqref="A6" pane="bottomLeft"/>
      <selection activeCell="F6" sqref="F6" pane="bottomRight"/>
    </sheetView>
  </sheetViews>
  <sheetFormatPr customHeight="1" defaultColWidth="16.83" defaultRowHeight="15.0" outlineLevelCol="1"/>
  <cols>
    <col customWidth="1" min="1" max="1" width="1.0"/>
    <col customWidth="1" min="2" max="2" width="3.5"/>
    <col customWidth="1" hidden="1" min="3" max="3" width="8.67"/>
    <col customWidth="1" hidden="1" min="4" max="4" width="7.83"/>
    <col customWidth="1" min="5" max="5" width="34.33"/>
    <col customWidth="1" min="6" max="6" width="17.5"/>
    <col customWidth="1" min="7" max="7" width="12.5"/>
    <col customWidth="1" min="8" max="8" width="16.33"/>
    <col customWidth="1" min="9" max="9" width="14.83"/>
    <col customWidth="1" min="10" max="10" width="23.33"/>
    <col customWidth="1" min="11" max="11" width="26.0"/>
    <col customWidth="1" min="12" max="12" width="21.17" outlineLevel="1"/>
    <col customWidth="1" min="13" max="13" width="24.5" outlineLevel="1"/>
    <col customWidth="1" min="14" max="14" width="21.17" outlineLevel="1"/>
    <col customWidth="1" min="15" max="15" width="24.5" outlineLevel="1"/>
    <col customWidth="1" min="16" max="16" width="14.67"/>
    <col customWidth="1" min="17" max="17" width="17.83"/>
    <col customWidth="1" min="18" max="18" width="16.33"/>
    <col customWidth="1" min="19" max="19" width="24.17"/>
    <col customWidth="1" min="20" max="20" width="27.67"/>
    <col customWidth="1" min="21" max="21" width="22.5"/>
    <col customWidth="1" min="22" max="22" width="26.0"/>
    <col customWidth="1" min="23" max="23" width="22.5"/>
    <col customWidth="1" min="24" max="24" width="26.0"/>
    <col customWidth="1" min="25" max="26" width="16.0"/>
    <col customWidth="1" min="27" max="27" width="18.33"/>
    <col customWidth="1" min="28" max="28" width="15.5"/>
    <col customWidth="1" min="29" max="29" width="16.33"/>
    <col customWidth="1" min="30" max="30" width="13.67"/>
  </cols>
  <sheetData>
    <row r="1">
      <c r="P1" s="49" t="s">
        <v>101</v>
      </c>
      <c r="Y1" s="49" t="s">
        <v>102</v>
      </c>
      <c r="Z1" s="49"/>
      <c r="AA1" s="49"/>
      <c r="AB1" s="49"/>
      <c r="AC1" s="49"/>
    </row>
    <row r="2">
      <c r="E2" t="s">
        <v>0</v>
      </c>
    </row>
    <row r="3" ht="14.25" customHeight="1">
      <c r="B3" s="1" t="s">
        <v>1</v>
      </c>
      <c r="C3" s="1" t="s">
        <v>2</v>
      </c>
      <c r="D3" s="1" t="s">
        <v>3</v>
      </c>
      <c r="E3" s="2" t="s">
        <v>4</v>
      </c>
      <c r="F3" s="2"/>
      <c r="G3" s="2"/>
      <c r="H3" s="3" t="s">
        <v>5</v>
      </c>
      <c r="I3" s="4"/>
      <c r="J3" s="4"/>
      <c r="K3" s="4"/>
      <c r="L3" s="4"/>
      <c r="M3" s="4"/>
      <c r="N3" s="4"/>
      <c r="O3" s="4"/>
      <c r="P3" s="5"/>
      <c r="Q3" s="3" t="s">
        <v>6</v>
      </c>
      <c r="R3" s="4"/>
      <c r="S3" s="4"/>
      <c r="T3" s="4"/>
      <c r="U3" s="4"/>
      <c r="V3" s="4"/>
      <c r="W3" s="4"/>
      <c r="X3" s="4"/>
      <c r="Y3" s="5"/>
      <c r="Z3" s="6"/>
      <c r="AA3" s="6"/>
      <c r="AB3" s="6"/>
      <c r="AC3" s="6"/>
      <c r="AD3" s="7"/>
    </row>
    <row r="4">
      <c r="B4" s="8"/>
      <c r="C4" s="8"/>
      <c r="D4" s="8"/>
      <c r="E4" s="9" t="s">
        <v>7</v>
      </c>
      <c r="F4" s="9"/>
      <c r="G4" s="9"/>
      <c r="H4" s="10" t="s">
        <v>8</v>
      </c>
      <c r="I4" s="11"/>
      <c r="J4" s="10" t="s">
        <v>9</v>
      </c>
      <c r="K4" s="11"/>
      <c r="L4" s="10" t="s">
        <v>10</v>
      </c>
      <c r="M4" s="11"/>
      <c r="N4" s="10" t="s">
        <v>11</v>
      </c>
      <c r="O4" s="11"/>
      <c r="P4" s="12"/>
      <c r="Q4" s="10" t="s">
        <v>8</v>
      </c>
      <c r="R4" s="11"/>
      <c r="S4" s="10" t="s">
        <v>9</v>
      </c>
      <c r="T4" s="11"/>
      <c r="U4" s="10" t="s">
        <v>10</v>
      </c>
      <c r="V4" s="11"/>
      <c r="W4" s="10" t="s">
        <v>11</v>
      </c>
      <c r="X4" s="11"/>
      <c r="Y4" s="12"/>
      <c r="Z4" s="13"/>
      <c r="AA4" s="13"/>
      <c r="AB4" s="13"/>
      <c r="AC4" s="13"/>
      <c r="AD4" s="7"/>
    </row>
    <row r="5">
      <c r="B5" s="14"/>
      <c r="C5" s="14"/>
      <c r="D5" s="14"/>
      <c r="E5" s="15" t="s">
        <v>12</v>
      </c>
      <c r="F5" s="15" t="s">
        <v>151</v>
      </c>
      <c r="G5" s="15" t="s">
        <v>14</v>
      </c>
      <c r="H5" s="16" t="s">
        <v>152</v>
      </c>
      <c r="I5" s="16" t="s">
        <v>153</v>
      </c>
      <c r="J5" s="16" t="s">
        <v>130</v>
      </c>
      <c r="K5" s="16" t="s">
        <v>131</v>
      </c>
      <c r="L5" s="16" t="s">
        <v>132</v>
      </c>
      <c r="M5" s="16" t="s">
        <v>133</v>
      </c>
      <c r="N5" s="16" t="s">
        <v>134</v>
      </c>
      <c r="O5" s="16" t="s">
        <v>135</v>
      </c>
      <c r="P5" s="16" t="s">
        <v>136</v>
      </c>
      <c r="Q5" s="16" t="s">
        <v>137</v>
      </c>
      <c r="R5" s="16" t="s">
        <v>138</v>
      </c>
      <c r="S5" s="16" t="s">
        <v>139</v>
      </c>
      <c r="T5" s="16" t="s">
        <v>140</v>
      </c>
      <c r="U5" s="16" t="s">
        <v>141</v>
      </c>
      <c r="V5" s="16" t="s">
        <v>142</v>
      </c>
      <c r="W5" s="16" t="s">
        <v>143</v>
      </c>
      <c r="X5" s="16" t="s">
        <v>144</v>
      </c>
      <c r="Y5" s="16" t="s">
        <v>145</v>
      </c>
      <c r="Z5" s="17" t="s">
        <v>146</v>
      </c>
      <c r="AA5" s="17" t="s">
        <v>147</v>
      </c>
      <c r="AB5" s="17" t="s">
        <v>148</v>
      </c>
      <c r="AC5" s="17" t="s">
        <v>149</v>
      </c>
      <c r="AD5" s="7" t="s">
        <v>150</v>
      </c>
    </row>
    <row r="6">
      <c r="B6" s="18">
        <v>1.0</v>
      </c>
      <c r="C6" s="18" t="s">
        <v>38</v>
      </c>
      <c r="D6" s="19"/>
      <c r="E6" s="20" t="str">
        <f>Personal!G6</f>
        <v>Nancy Beatriz Pedroza</v>
      </c>
      <c r="F6" s="20" t="s">
        <v>13</v>
      </c>
      <c r="G6" s="20" t="str">
        <f>Personal!H6</f>
        <v>AGENTE</v>
      </c>
      <c r="H6" s="21">
        <v>0.7083333333333334</v>
      </c>
      <c r="I6" s="21">
        <v>1.0</v>
      </c>
      <c r="J6" s="21">
        <v>0.7916666666666666</v>
      </c>
      <c r="K6" s="21">
        <v>0.8125</v>
      </c>
      <c r="L6" s="21">
        <v>0.8125</v>
      </c>
      <c r="M6" s="21" t="str">
        <f>IF(G6="AGENTE",'Semana 1'!$L6+0.014,IF(G6="REDES",'Semana 1'!$L6+0.014,IF(G6="AGENTE RM",'Semana 1'!$L6+0.014,IF(G6="AGENTE APERTURA",'Semana 1'!$L6+0.014,IF(G6="AGENTE CIERRE",'Semana 1'!$L6+0.014," - ")))))</f>
        <v>19:50</v>
      </c>
      <c r="N6" s="21">
        <v>0.8263888888888888</v>
      </c>
      <c r="O6" s="21" t="str">
        <f>IF(G6="AGENTE",'Semana 1'!$N6+0.007,IF(G6="REDES",'Semana 1'!$N6+0.007,IF(G6="AGENTE RM",'Semana 1'!$N6+0.007,IF(G6="AGENTE APERTURA",'Semana 1'!$N6+0.007,IF(G6="AGENTE CIERRE",'Semana 1'!$N6+0.007," - ")))))</f>
        <v>20:00</v>
      </c>
      <c r="P6" s="22" t="str">
        <f t="shared" ref="P6:P52" si="2">(IFERROR(I6-H6,0)*24)-1</f>
        <v>6.0</v>
      </c>
      <c r="Q6" s="21">
        <v>0.7083333333333334</v>
      </c>
      <c r="R6" s="21">
        <v>1.0</v>
      </c>
      <c r="S6" s="28">
        <v>0.7916666666666666</v>
      </c>
      <c r="T6" s="28">
        <v>0.8125</v>
      </c>
      <c r="U6" s="21">
        <v>0.8125</v>
      </c>
      <c r="V6" s="21">
        <v>0.8265</v>
      </c>
      <c r="W6" s="28">
        <v>0.8263888888888888</v>
      </c>
      <c r="X6" s="28">
        <v>0.8333888888888888</v>
      </c>
      <c r="Y6" s="22" t="str">
        <f>(IFERROR(R6-Q6,0)*24)-1</f>
        <v>6.0</v>
      </c>
      <c r="Z6" s="22" t="str">
        <f t="shared" ref="Z6:AC6" si="1">$P6</f>
        <v>6.0</v>
      </c>
      <c r="AA6" s="22" t="str">
        <f t="shared" si="1"/>
        <v>6.0</v>
      </c>
      <c r="AB6" s="22" t="str">
        <f t="shared" si="1"/>
        <v>6.0</v>
      </c>
      <c r="AC6" s="22" t="str">
        <f t="shared" si="1"/>
        <v>6.0</v>
      </c>
      <c r="AD6" s="23" t="str">
        <f t="shared" ref="AD6:AD52" si="4">P6+Z6+AA6+AB6+AC6+Y6</f>
        <v>36</v>
      </c>
    </row>
    <row r="7">
      <c r="B7" s="18">
        <v>2.0</v>
      </c>
      <c r="C7" s="18" t="s">
        <v>38</v>
      </c>
      <c r="D7" s="19"/>
      <c r="E7" s="20" t="str">
        <f>Personal!G7</f>
        <v>Carina Alejandra Peliz Reban</v>
      </c>
      <c r="F7" s="20" t="s">
        <v>13</v>
      </c>
      <c r="G7" s="20" t="str">
        <f>Personal!H7</f>
        <v>REDES</v>
      </c>
      <c r="H7" s="24">
        <v>0.375</v>
      </c>
      <c r="I7" s="24" t="str">
        <f t="shared" ref="I7:I25" si="5">IF(H7=0," ",IF(Q7=0,(H7+0.417),(H7+0.3756)))</f>
        <v>18:00</v>
      </c>
      <c r="J7" s="24">
        <v>0.5</v>
      </c>
      <c r="K7" s="24" t="str">
        <f>IF(G7="AGENTE",'Semana 1'!$J7+0.042,IF(G7="REDES",'Semana 1'!$J7+0.042,IF(G7="AGENTE RM",'Semana 1'!$J7+0.042,IF(G7="AGENTE APERTURA",'Semana 1'!$J7+0.021,IF(G7="AGENTE CIERRE",'Semana 1'!$J7+0.021," - ")))))</f>
        <v>13:00</v>
      </c>
      <c r="L7" s="24">
        <v>0.4166666666666667</v>
      </c>
      <c r="M7" s="24" t="str">
        <f>IF(G7="AGENTE",'Semana 1'!$L7+0.014,IF(G7="REDES",'Semana 1'!$L7+0.014,IF(G7="AGENTE RM",'Semana 1'!$L7+0.014,IF(G7="AGENTE APERTURA",'Semana 1'!$L7+0.014,IF(G7="AGENTE CIERRE",'Semana 1'!$L7+0.014," - ")))))</f>
        <v>10:20</v>
      </c>
      <c r="N7" s="24">
        <v>0.6458333333333334</v>
      </c>
      <c r="O7" s="24" t="str">
        <f>IF(G7="AGENTE",'Semana 1'!$N7+0.007,IF(G7="REDES",'Semana 1'!$N7+0.007,IF(G7="AGENTE RM",'Semana 1'!$N7+0.007,IF(G7="AGENTE APERTURA",'Semana 1'!$N7+0.007,IF(G7="AGENTE CIERRE",'Semana 1'!$N7+0.007," - ")))))</f>
        <v>15:40</v>
      </c>
      <c r="P7" s="25" t="str">
        <f t="shared" si="2"/>
        <v>8.0</v>
      </c>
      <c r="Q7" s="24">
        <v>0.4166666666666667</v>
      </c>
      <c r="R7" s="24" t="str">
        <f>IF(Q7=0,"",Q7+0.209)</f>
        <v>15:00</v>
      </c>
      <c r="S7" s="26"/>
      <c r="T7" s="26"/>
      <c r="U7" s="24">
        <v>0.4375</v>
      </c>
      <c r="V7" s="24" t="str">
        <f t="shared" ref="V7:V10" si="6">IF(U7=0,"",U7+0.021)</f>
        <v>11:00</v>
      </c>
      <c r="W7" s="26"/>
      <c r="X7" s="26"/>
      <c r="Y7" s="25" t="str">
        <f t="shared" ref="Y7:Y25" si="7">(IFERROR(R7-Q7,0)*24)</f>
        <v>5.0</v>
      </c>
      <c r="Z7" s="25" t="str">
        <f t="shared" ref="Z7:AC7" si="3">$P7</f>
        <v>8.0</v>
      </c>
      <c r="AA7" s="25" t="str">
        <f t="shared" si="3"/>
        <v>8.0</v>
      </c>
      <c r="AB7" s="25" t="str">
        <f t="shared" si="3"/>
        <v>8.0</v>
      </c>
      <c r="AC7" s="25" t="str">
        <f t="shared" si="3"/>
        <v>8.0</v>
      </c>
      <c r="AD7" s="27" t="str">
        <f t="shared" si="4"/>
        <v>45</v>
      </c>
    </row>
    <row r="8">
      <c r="B8" s="18">
        <v>3.0</v>
      </c>
      <c r="C8" s="18" t="s">
        <v>39</v>
      </c>
      <c r="D8" s="19"/>
      <c r="E8" s="20" t="str">
        <f>Personal!G8</f>
        <v>-</v>
      </c>
      <c r="F8" s="20" t="s">
        <v>13</v>
      </c>
      <c r="G8" s="20" t="str">
        <f>Personal!H8</f>
        <v>-</v>
      </c>
      <c r="H8" s="21"/>
      <c r="I8" s="21" t="str">
        <f t="shared" si="5"/>
        <v> </v>
      </c>
      <c r="J8" s="21"/>
      <c r="K8" s="21" t="str">
        <f>IF(G8="AGENTE",'Semana 1'!$J8+0.042,IF(G8="REDES",'Semana 1'!$J8+0.042,IF(G8="AGENTE RM",'Semana 1'!$J8+0.042,IF(G8="AGENTE APERTURA",'Semana 1'!$J8+0.021,IF(G8="AGENTE CIERRE",'Semana 1'!$J8+0.021," - ")))))</f>
        <v> - </v>
      </c>
      <c r="L8" s="21"/>
      <c r="M8" s="21" t="str">
        <f>IF(G8="AGENTE",'Semana 1'!$L8+0.014,IF(G8="REDES",'Semana 1'!$L8+0.014,IF(G8="AGENTE RM",'Semana 1'!$L8+0.014,IF(G8="AGENTE APERTURA",'Semana 1'!$L8+0.014,IF(G8="AGENTE CIERRE",'Semana 1'!$L8+0.014," - ")))))</f>
        <v> - </v>
      </c>
      <c r="N8" s="21"/>
      <c r="O8" s="21" t="str">
        <f>IF(G8="AGENTE",'Semana 1'!$N8+0.007,IF(G8="REDES",'Semana 1'!$N8+0.007,IF(G8="AGENTE RM",'Semana 1'!$N8+0.007,IF(G8="AGENTE APERTURA",'Semana 1'!$N8+0.007,IF(G8="AGENTE CIERRE",'Semana 1'!$N8+0.007," - ")))))</f>
        <v> - </v>
      </c>
      <c r="P8" s="22" t="str">
        <f t="shared" si="2"/>
        <v>-1.0</v>
      </c>
      <c r="Q8" s="21"/>
      <c r="R8" s="21"/>
      <c r="S8" s="21"/>
      <c r="T8" s="21"/>
      <c r="U8" s="21"/>
      <c r="V8" s="21" t="str">
        <f t="shared" si="6"/>
        <v/>
      </c>
      <c r="W8" s="21"/>
      <c r="X8" s="21"/>
      <c r="Y8" s="22" t="str">
        <f t="shared" si="7"/>
        <v>0.0</v>
      </c>
      <c r="Z8" s="22" t="str">
        <f t="shared" ref="Z8:AC8" si="8">$P8</f>
        <v>-1.0</v>
      </c>
      <c r="AA8" s="22" t="str">
        <f t="shared" si="8"/>
        <v>-1.0</v>
      </c>
      <c r="AB8" s="22" t="str">
        <f t="shared" si="8"/>
        <v>-1.0</v>
      </c>
      <c r="AC8" s="22" t="str">
        <f t="shared" si="8"/>
        <v>-1.0</v>
      </c>
      <c r="AD8" s="23" t="str">
        <f t="shared" si="4"/>
        <v>-5</v>
      </c>
    </row>
    <row r="9">
      <c r="B9" s="18">
        <v>4.0</v>
      </c>
      <c r="C9" s="18" t="s">
        <v>38</v>
      </c>
      <c r="D9" s="19"/>
      <c r="E9" s="20" t="str">
        <f>Personal!G9</f>
        <v>Daisy Yomara Mateo</v>
      </c>
      <c r="F9" s="20" t="s">
        <v>13</v>
      </c>
      <c r="G9" s="20" t="str">
        <f>Personal!H9</f>
        <v>SOPORTE</v>
      </c>
      <c r="H9" s="24"/>
      <c r="I9" s="24" t="str">
        <f t="shared" si="5"/>
        <v> </v>
      </c>
      <c r="J9" s="24"/>
      <c r="K9" s="24" t="str">
        <f>IF(G9="AGENTE",'Semana 1'!$J9+0.042,IF(G9="REDES",'Semana 1'!$J9+0.042,IF(G9="AGENTE RM",'Semana 1'!$J9+0.042,IF(G9="AGENTE APERTURA",'Semana 1'!$J9+0.021,IF(G9="AGENTE CIERRE",'Semana 1'!$J9+0.021," - ")))))</f>
        <v> - </v>
      </c>
      <c r="L9" s="24"/>
      <c r="M9" s="24" t="str">
        <f>IF(G9="AGENTE",'Semana 1'!$L9+0.014,IF(G9="REDES",'Semana 1'!$L9+0.014,IF(G9="AGENTE RM",'Semana 1'!$L9+0.014,IF(G9="AGENTE APERTURA",'Semana 1'!$L9+0.014,IF(G9="AGENTE CIERRE",'Semana 1'!$L9+0.014," - ")))))</f>
        <v> - </v>
      </c>
      <c r="N9" s="24"/>
      <c r="O9" s="24" t="str">
        <f>IF(G9="AGENTE",'Semana 1'!$N9+0.007,IF(G9="REDES",'Semana 1'!$N9+0.007,IF(G9="AGENTE RM",'Semana 1'!$N9+0.007,IF(G9="AGENTE APERTURA",'Semana 1'!$N9+0.007,IF(G9="AGENTE CIERRE",'Semana 1'!$N9+0.007," - ")))))</f>
        <v> - </v>
      </c>
      <c r="P9" s="25" t="str">
        <f t="shared" si="2"/>
        <v>-1.0</v>
      </c>
      <c r="Q9" s="24"/>
      <c r="R9" s="24" t="str">
        <f t="shared" ref="R9:R25" si="10">IF(Q9=0,"",Q9+0.209)</f>
        <v/>
      </c>
      <c r="S9" s="26"/>
      <c r="T9" s="26"/>
      <c r="U9" s="24"/>
      <c r="V9" s="24" t="str">
        <f t="shared" si="6"/>
        <v/>
      </c>
      <c r="W9" s="26"/>
      <c r="X9" s="26"/>
      <c r="Y9" s="25" t="str">
        <f t="shared" si="7"/>
        <v>0.0</v>
      </c>
      <c r="Z9" s="25" t="str">
        <f t="shared" ref="Z9:AC9" si="9">$P9</f>
        <v>-1.0</v>
      </c>
      <c r="AA9" s="25" t="str">
        <f t="shared" si="9"/>
        <v>-1.0</v>
      </c>
      <c r="AB9" s="25" t="str">
        <f t="shared" si="9"/>
        <v>-1.0</v>
      </c>
      <c r="AC9" s="25" t="str">
        <f t="shared" si="9"/>
        <v>-1.0</v>
      </c>
      <c r="AD9" s="27" t="str">
        <f t="shared" si="4"/>
        <v>-5</v>
      </c>
    </row>
    <row r="10">
      <c r="B10" s="18">
        <v>5.0</v>
      </c>
      <c r="C10" s="18" t="s">
        <v>38</v>
      </c>
      <c r="D10" s="19"/>
      <c r="E10" s="20" t="str">
        <f>Personal!G10</f>
        <v>Carlo Giordiano Caballero Morales</v>
      </c>
      <c r="F10" s="20" t="s">
        <v>13</v>
      </c>
      <c r="G10" s="20" t="str">
        <f>Personal!H10</f>
        <v>REDES</v>
      </c>
      <c r="H10" s="21">
        <v>0.2916666666666667</v>
      </c>
      <c r="I10" s="21" t="str">
        <f t="shared" si="5"/>
        <v>16:00</v>
      </c>
      <c r="J10" s="21">
        <v>0.5416666666666666</v>
      </c>
      <c r="K10" s="21" t="str">
        <f>IF(G10="AGENTE",'Semana 1'!$J10+0.042,IF(G10="REDES",'Semana 1'!$J10+0.042,IF(G10="AGENTE RM",'Semana 1'!$J10+0.042,IF(G10="AGENTE APERTURA",'Semana 1'!$J10+0.021,IF(G10="AGENTE CIERRE",'Semana 1'!$J10+0.021," - ")))))</f>
        <v>14:00</v>
      </c>
      <c r="L10" s="21">
        <v>0.3611111111111111</v>
      </c>
      <c r="M10" s="21" t="str">
        <f>IF(G10="AGENTE",'Semana 1'!$L10+0.014,IF(G10="REDES",'Semana 1'!$L10+0.014,IF(G10="AGENTE RM",'Semana 1'!$L10+0.014,IF(G10="AGENTE APERTURA",'Semana 1'!$L10+0.014,IF(G10="AGENTE CIERRE",'Semana 1'!$L10+0.014," - ")))))</f>
        <v>9:00</v>
      </c>
      <c r="N10" s="21">
        <v>0.5972222222222222</v>
      </c>
      <c r="O10" s="21" t="str">
        <f>IF(G10="AGENTE",'Semana 1'!$N10+0.007,IF(G10="REDES",'Semana 1'!$N10+0.007,IF(G10="AGENTE RM",'Semana 1'!$N10+0.007,IF(G10="AGENTE APERTURA",'Semana 1'!$N10+0.007,IF(G10="AGENTE CIERRE",'Semana 1'!$N10+0.007," - ")))))</f>
        <v>14:30</v>
      </c>
      <c r="P10" s="22" t="str">
        <f t="shared" si="2"/>
        <v>8.0</v>
      </c>
      <c r="Q10" s="21">
        <v>0.3541666666666667</v>
      </c>
      <c r="R10" s="21" t="str">
        <f t="shared" si="10"/>
        <v>13:30</v>
      </c>
      <c r="S10" s="28"/>
      <c r="T10" s="28"/>
      <c r="U10" s="21">
        <v>0.375</v>
      </c>
      <c r="V10" s="21" t="str">
        <f t="shared" si="6"/>
        <v>9:30</v>
      </c>
      <c r="W10" s="28"/>
      <c r="X10" s="28"/>
      <c r="Y10" s="22" t="str">
        <f t="shared" si="7"/>
        <v>5.0</v>
      </c>
      <c r="Z10" s="22" t="str">
        <f t="shared" ref="Z10:AC10" si="11">$P10</f>
        <v>8.0</v>
      </c>
      <c r="AA10" s="22" t="str">
        <f t="shared" si="11"/>
        <v>8.0</v>
      </c>
      <c r="AB10" s="22" t="str">
        <f t="shared" si="11"/>
        <v>8.0</v>
      </c>
      <c r="AC10" s="22" t="str">
        <f t="shared" si="11"/>
        <v>8.0</v>
      </c>
      <c r="AD10" s="23" t="str">
        <f t="shared" si="4"/>
        <v>45</v>
      </c>
    </row>
    <row r="11">
      <c r="B11" s="18">
        <v>6.0</v>
      </c>
      <c r="C11" s="18" t="s">
        <v>38</v>
      </c>
      <c r="D11" s="19"/>
      <c r="E11" s="20" t="str">
        <f>Personal!G11</f>
        <v>Ani Rubi Lucero Gonzalez</v>
      </c>
      <c r="F11" s="20" t="s">
        <v>13</v>
      </c>
      <c r="G11" s="20" t="str">
        <f>Personal!H11</f>
        <v>SOPORTE</v>
      </c>
      <c r="H11" s="24"/>
      <c r="I11" s="24" t="str">
        <f t="shared" si="5"/>
        <v> </v>
      </c>
      <c r="J11" s="24"/>
      <c r="K11" s="24" t="str">
        <f>IF(G11="AGENTE",'Semana 1'!$J11+0.042,IF(G11="REDES",'Semana 1'!$J11+0.042,IF(G11="AGENTE RM",'Semana 1'!$J11+0.042,IF(G11="AGENTE APERTURA",'Semana 1'!$J11+0.021,IF(G11="AGENTE CIERRE",'Semana 1'!$J11+0.021," - ")))))</f>
        <v> - </v>
      </c>
      <c r="L11" s="24"/>
      <c r="M11" s="24" t="str">
        <f>IF(G11="AGENTE",'Semana 1'!$L11+0.014,IF(G11="REDES",'Semana 1'!$L11+0.014,IF(G11="AGENTE RM",'Semana 1'!$L11+0.014,IF(G11="AGENTE APERTURA",'Semana 1'!$L11+0.014,IF(G11="AGENTE CIERRE",'Semana 1'!$L11+0.014," - ")))))</f>
        <v> - </v>
      </c>
      <c r="N11" s="24"/>
      <c r="O11" s="24" t="str">
        <f>IF(G11="AGENTE",'Semana 1'!$N11+0.007,IF(G11="REDES",'Semana 1'!$N11+0.007,IF(G11="AGENTE RM",'Semana 1'!$N11+0.007,IF(G11="AGENTE APERTURA",'Semana 1'!$N11+0.007,IF(G11="AGENTE CIERRE",'Semana 1'!$N11+0.007," - ")))))</f>
        <v> - </v>
      </c>
      <c r="P11" s="25" t="str">
        <f t="shared" si="2"/>
        <v>-1.0</v>
      </c>
      <c r="Q11" s="24"/>
      <c r="R11" s="24" t="str">
        <f t="shared" si="10"/>
        <v/>
      </c>
      <c r="S11" s="26"/>
      <c r="T11" s="26"/>
      <c r="U11" s="24"/>
      <c r="V11" s="24" t="s">
        <v>40</v>
      </c>
      <c r="W11" s="26"/>
      <c r="X11" s="26"/>
      <c r="Y11" s="25" t="str">
        <f t="shared" si="7"/>
        <v>0.0</v>
      </c>
      <c r="Z11" s="25" t="str">
        <f t="shared" ref="Z11:AC11" si="12">$P11</f>
        <v>-1.0</v>
      </c>
      <c r="AA11" s="25" t="str">
        <f t="shared" si="12"/>
        <v>-1.0</v>
      </c>
      <c r="AB11" s="25" t="str">
        <f t="shared" si="12"/>
        <v>-1.0</v>
      </c>
      <c r="AC11" s="25" t="str">
        <f t="shared" si="12"/>
        <v>-1.0</v>
      </c>
      <c r="AD11" s="27" t="str">
        <f t="shared" si="4"/>
        <v>-5</v>
      </c>
    </row>
    <row r="12">
      <c r="B12" s="18">
        <v>7.0</v>
      </c>
      <c r="C12" s="18" t="s">
        <v>38</v>
      </c>
      <c r="D12" s="19"/>
      <c r="E12" s="20" t="str">
        <f>Personal!G12</f>
        <v>Hilda Sofia Gonzalez De León</v>
      </c>
      <c r="F12" s="20" t="s">
        <v>13</v>
      </c>
      <c r="G12" s="20" t="str">
        <f>Personal!H12</f>
        <v>REDES</v>
      </c>
      <c r="H12" s="21">
        <v>0.375</v>
      </c>
      <c r="I12" s="21" t="str">
        <f t="shared" si="5"/>
        <v>18:00</v>
      </c>
      <c r="J12" s="21">
        <v>0.5</v>
      </c>
      <c r="K12" s="21" t="str">
        <f>IF(G12="AGENTE",'Semana 1'!$J12+0.042,IF(G12="REDES",'Semana 1'!$J12+0.042,IF(G12="AGENTE RM",'Semana 1'!$J12+0.042,IF(G12="AGENTE APERTURA",'Semana 1'!$J12+0.021,IF(G12="AGENTE CIERRE",'Semana 1'!$J12+0.021," - ")))))</f>
        <v>13:00</v>
      </c>
      <c r="L12" s="21">
        <v>0.4305555555555556</v>
      </c>
      <c r="M12" s="21" t="str">
        <f>IF(G12="AGENTE",'Semana 1'!$L12+0.014,IF(G12="REDES",'Semana 1'!$L12+0.014,IF(G12="AGENTE RM",'Semana 1'!$L12+0.014,IF(G12="AGENTE APERTURA",'Semana 1'!$L12+0.014,IF(G12="AGENTE CIERRE",'Semana 1'!$L12+0.014," - ")))))</f>
        <v>10:40</v>
      </c>
      <c r="N12" s="21">
        <v>0.6527777777777778</v>
      </c>
      <c r="O12" s="21" t="str">
        <f>IF(G12="AGENTE",'Semana 1'!$N12+0.007,IF(G12="REDES",'Semana 1'!$N12+0.007,IF(G12="AGENTE RM",'Semana 1'!$N12+0.007,IF(G12="AGENTE APERTURA",'Semana 1'!$N12+0.007,IF(G12="AGENTE CIERRE",'Semana 1'!$N12+0.007," - ")))))</f>
        <v>15:50</v>
      </c>
      <c r="P12" s="22" t="str">
        <f t="shared" si="2"/>
        <v>8.0</v>
      </c>
      <c r="Q12" s="21">
        <v>0.375</v>
      </c>
      <c r="R12" s="21" t="str">
        <f t="shared" si="10"/>
        <v>14:00</v>
      </c>
      <c r="S12" s="28"/>
      <c r="T12" s="28"/>
      <c r="U12" s="21">
        <v>0.3958333333333333</v>
      </c>
      <c r="V12" s="21" t="str">
        <f t="shared" ref="V12:V13" si="14">IF(U12=0,"",U12+0.021)</f>
        <v>10:00</v>
      </c>
      <c r="W12" s="28"/>
      <c r="X12" s="28"/>
      <c r="Y12" s="22" t="str">
        <f t="shared" si="7"/>
        <v>5.0</v>
      </c>
      <c r="Z12" s="22" t="str">
        <f t="shared" ref="Z12:AC12" si="13">$P12</f>
        <v>8.0</v>
      </c>
      <c r="AA12" s="22" t="str">
        <f t="shared" si="13"/>
        <v>8.0</v>
      </c>
      <c r="AB12" s="22" t="str">
        <f t="shared" si="13"/>
        <v>8.0</v>
      </c>
      <c r="AC12" s="22" t="str">
        <f t="shared" si="13"/>
        <v>8.0</v>
      </c>
      <c r="AD12" s="23" t="str">
        <f t="shared" si="4"/>
        <v>45</v>
      </c>
    </row>
    <row r="13">
      <c r="B13" s="18">
        <v>8.0</v>
      </c>
      <c r="C13" s="18" t="s">
        <v>39</v>
      </c>
      <c r="D13" s="19"/>
      <c r="E13" s="20" t="str">
        <f>Personal!G13</f>
        <v>-</v>
      </c>
      <c r="F13" s="20" t="s">
        <v>13</v>
      </c>
      <c r="G13" s="20" t="str">
        <f>Personal!H13</f>
        <v>-</v>
      </c>
      <c r="H13" s="24"/>
      <c r="I13" s="24" t="str">
        <f t="shared" si="5"/>
        <v> </v>
      </c>
      <c r="J13" s="24"/>
      <c r="K13" s="24" t="str">
        <f>IF(G13="AGENTE",'Semana 1'!$J13+0.042,IF(G13="REDES",'Semana 1'!$J13+0.042,IF(G13="AGENTE RM",'Semana 1'!$J13+0.042,IF(G13="AGENTE APERTURA",'Semana 1'!$J13+0.021,IF(G13="AGENTE CIERRE",'Semana 1'!$J13+0.021," - ")))))</f>
        <v> - </v>
      </c>
      <c r="L13" s="24"/>
      <c r="M13" s="24" t="str">
        <f>IF(G13="AGENTE",'Semana 1'!$L13+0.014,IF(G13="REDES",'Semana 1'!$L13+0.014,IF(G13="AGENTE RM",'Semana 1'!$L13+0.014,IF(G13="AGENTE APERTURA",'Semana 1'!$L13+0.014,IF(G13="AGENTE CIERRE",'Semana 1'!$L13+0.014," - ")))))</f>
        <v> - </v>
      </c>
      <c r="N13" s="24"/>
      <c r="O13" s="24" t="str">
        <f>IF(G13="AGENTE",'Semana 1'!$N13+0.007,IF(G13="REDES",'Semana 1'!$N13+0.007,IF(G13="AGENTE RM",'Semana 1'!$N13+0.007,IF(G13="AGENTE APERTURA",'Semana 1'!$N13+0.007,IF(G13="AGENTE CIERRE",'Semana 1'!$N13+0.007," - ")))))</f>
        <v> - </v>
      </c>
      <c r="P13" s="25" t="str">
        <f t="shared" si="2"/>
        <v>-1.0</v>
      </c>
      <c r="Q13" s="24"/>
      <c r="R13" s="24" t="str">
        <f t="shared" si="10"/>
        <v/>
      </c>
      <c r="S13" s="26"/>
      <c r="T13" s="26"/>
      <c r="U13" s="24"/>
      <c r="V13" s="24" t="str">
        <f t="shared" si="14"/>
        <v/>
      </c>
      <c r="W13" s="26"/>
      <c r="X13" s="26"/>
      <c r="Y13" s="25" t="str">
        <f t="shared" si="7"/>
        <v>0.0</v>
      </c>
      <c r="Z13" s="25" t="str">
        <f t="shared" ref="Z13:AC13" si="15">$P13</f>
        <v>-1.0</v>
      </c>
      <c r="AA13" s="25" t="str">
        <f t="shared" si="15"/>
        <v>-1.0</v>
      </c>
      <c r="AB13" s="25" t="str">
        <f t="shared" si="15"/>
        <v>-1.0</v>
      </c>
      <c r="AC13" s="25" t="str">
        <f t="shared" si="15"/>
        <v>-1.0</v>
      </c>
      <c r="AD13" s="27" t="str">
        <f t="shared" si="4"/>
        <v>-5</v>
      </c>
    </row>
    <row r="14">
      <c r="B14" s="18">
        <v>9.0</v>
      </c>
      <c r="C14" s="18" t="s">
        <v>38</v>
      </c>
      <c r="D14" s="19"/>
      <c r="E14" s="20" t="str">
        <f>Personal!G14</f>
        <v>Jorge Israel Reyes Valencia</v>
      </c>
      <c r="F14" s="20" t="s">
        <v>13</v>
      </c>
      <c r="G14" s="20" t="str">
        <f>Personal!H14</f>
        <v>SOPORTE</v>
      </c>
      <c r="H14" s="21"/>
      <c r="I14" s="21" t="str">
        <f t="shared" si="5"/>
        <v> </v>
      </c>
      <c r="J14" s="21"/>
      <c r="K14" s="21" t="str">
        <f>IF(G14="AGENTE",'Semana 1'!$J14+0.042,IF(G14="REDES",'Semana 1'!$J14+0.042,IF(G14="AGENTE RM",'Semana 1'!$J14+0.042,IF(G14="AGENTE APERTURA",'Semana 1'!$J14+0.021,IF(G14="AGENTE CIERRE",'Semana 1'!$J14+0.021," - ")))))</f>
        <v> - </v>
      </c>
      <c r="L14" s="21"/>
      <c r="M14" s="21" t="str">
        <f>IF(G14="AGENTE",'Semana 1'!$L14+0.014,IF(G14="REDES",'Semana 1'!$L14+0.014,IF(G14="AGENTE RM",'Semana 1'!$L14+0.014,IF(G14="AGENTE APERTURA",'Semana 1'!$L14+0.014,IF(G14="AGENTE CIERRE",'Semana 1'!$L14+0.014," - ")))))</f>
        <v> - </v>
      </c>
      <c r="N14" s="21"/>
      <c r="O14" s="21" t="str">
        <f>IF(G14="AGENTE",'Semana 1'!$N14+0.007,IF(G14="REDES",'Semana 1'!$N14+0.007,IF(G14="AGENTE RM",'Semana 1'!$N14+0.007,IF(G14="AGENTE APERTURA",'Semana 1'!$N14+0.007,IF(G14="AGENTE CIERRE",'Semana 1'!$N14+0.007," - ")))))</f>
        <v> - </v>
      </c>
      <c r="P14" s="22" t="str">
        <f t="shared" si="2"/>
        <v>-1.0</v>
      </c>
      <c r="Q14" s="21"/>
      <c r="R14" s="21" t="str">
        <f t="shared" si="10"/>
        <v/>
      </c>
      <c r="S14" s="21"/>
      <c r="T14" s="21" t="str">
        <f>IF(S14=0,"",S14+0.021)</f>
        <v/>
      </c>
      <c r="U14" s="21"/>
      <c r="V14" s="21" t="str">
        <f>IF(U14=0,"",U14+0.01)</f>
        <v/>
      </c>
      <c r="W14" s="21"/>
      <c r="X14" s="21" t="str">
        <f>IF(W14=0,"",W14+0.01)</f>
        <v/>
      </c>
      <c r="Y14" s="22" t="str">
        <f t="shared" si="7"/>
        <v>0.0</v>
      </c>
      <c r="Z14" s="22" t="str">
        <f t="shared" ref="Z14:AC14" si="16">$P14</f>
        <v>-1.0</v>
      </c>
      <c r="AA14" s="22" t="str">
        <f t="shared" si="16"/>
        <v>-1.0</v>
      </c>
      <c r="AB14" s="22" t="str">
        <f t="shared" si="16"/>
        <v>-1.0</v>
      </c>
      <c r="AC14" s="22" t="str">
        <f t="shared" si="16"/>
        <v>-1.0</v>
      </c>
      <c r="AD14" s="23" t="str">
        <f t="shared" si="4"/>
        <v>-5</v>
      </c>
    </row>
    <row r="15">
      <c r="B15" s="18">
        <v>10.0</v>
      </c>
      <c r="C15" s="18" t="s">
        <v>38</v>
      </c>
      <c r="D15" s="19"/>
      <c r="E15" s="20" t="str">
        <f>Personal!G15</f>
        <v>Marcos Geovanny Coronado Giron</v>
      </c>
      <c r="F15" s="20" t="s">
        <v>13</v>
      </c>
      <c r="G15" s="20" t="str">
        <f>Personal!H15</f>
        <v>SOPORTE</v>
      </c>
      <c r="H15" s="24"/>
      <c r="I15" s="24" t="str">
        <f t="shared" si="5"/>
        <v> </v>
      </c>
      <c r="J15" s="24"/>
      <c r="K15" s="24" t="str">
        <f>IF(G15="AGENTE",'Semana 1'!$J15+0.042,IF(G15="REDES",'Semana 1'!$J15+0.042,IF(G15="AGENTE RM",'Semana 1'!$J15+0.042,IF(G15="AGENTE APERTURA",'Semana 1'!$J15+0.021,IF(G15="AGENTE CIERRE",'Semana 1'!$J15+0.021," - ")))))</f>
        <v> - </v>
      </c>
      <c r="L15" s="24"/>
      <c r="M15" s="24" t="str">
        <f>IF(G15="AGENTE",'Semana 1'!$L15+0.014,IF(G15="REDES",'Semana 1'!$L15+0.014,IF(G15="AGENTE RM",'Semana 1'!$L15+0.014,IF(G15="AGENTE APERTURA",'Semana 1'!$L15+0.014,IF(G15="AGENTE CIERRE",'Semana 1'!$L15+0.014," - ")))))</f>
        <v> - </v>
      </c>
      <c r="N15" s="24"/>
      <c r="O15" s="24" t="str">
        <f>IF(G15="AGENTE",'Semana 1'!$N15+0.007,IF(G15="REDES",'Semana 1'!$N15+0.007,IF(G15="AGENTE RM",'Semana 1'!$N15+0.007,IF(G15="AGENTE APERTURA",'Semana 1'!$N15+0.007,IF(G15="AGENTE CIERRE",'Semana 1'!$N15+0.007," - ")))))</f>
        <v> - </v>
      </c>
      <c r="P15" s="25" t="str">
        <f t="shared" si="2"/>
        <v>-1.0</v>
      </c>
      <c r="Q15" s="24"/>
      <c r="R15" s="24" t="str">
        <f t="shared" si="10"/>
        <v/>
      </c>
      <c r="S15" s="26"/>
      <c r="T15" s="26"/>
      <c r="U15" s="24"/>
      <c r="V15" s="24"/>
      <c r="W15" s="26"/>
      <c r="X15" s="26"/>
      <c r="Y15" s="25" t="str">
        <f t="shared" si="7"/>
        <v>0.0</v>
      </c>
      <c r="Z15" s="25" t="str">
        <f t="shared" ref="Z15:AC15" si="17">$P15</f>
        <v>-1.0</v>
      </c>
      <c r="AA15" s="25" t="str">
        <f t="shared" si="17"/>
        <v>-1.0</v>
      </c>
      <c r="AB15" s="25" t="str">
        <f t="shared" si="17"/>
        <v>-1.0</v>
      </c>
      <c r="AC15" s="25" t="str">
        <f t="shared" si="17"/>
        <v>-1.0</v>
      </c>
      <c r="AD15" s="27" t="str">
        <f t="shared" si="4"/>
        <v>-5</v>
      </c>
    </row>
    <row r="16">
      <c r="B16" s="18">
        <v>11.0</v>
      </c>
      <c r="C16" s="18" t="s">
        <v>38</v>
      </c>
      <c r="D16" s="19"/>
      <c r="E16" s="20" t="str">
        <f>Personal!G16</f>
        <v>Anyely Eunice Florian Florian</v>
      </c>
      <c r="F16" s="20" t="s">
        <v>13</v>
      </c>
      <c r="G16" s="20" t="str">
        <f>Personal!H16</f>
        <v>SOPORTE</v>
      </c>
      <c r="H16" s="21"/>
      <c r="I16" s="21" t="str">
        <f t="shared" si="5"/>
        <v> </v>
      </c>
      <c r="J16" s="21"/>
      <c r="K16" s="21" t="str">
        <f>IF(G16="AGENTE",'Semana 1'!$J16+0.042,IF(G16="REDES",'Semana 1'!$J16+0.042,IF(G16="AGENTE RM",'Semana 1'!$J16+0.042,IF(G16="AGENTE APERTURA",'Semana 1'!$J16+0.021,IF(G16="AGENTE CIERRE",'Semana 1'!$J16+0.021," - ")))))</f>
        <v> - </v>
      </c>
      <c r="L16" s="21"/>
      <c r="M16" s="21" t="str">
        <f>IF(G16="AGENTE",'Semana 1'!$L16+0.014,IF(G16="REDES",'Semana 1'!$L16+0.014,IF(G16="AGENTE RM",'Semana 1'!$L16+0.014,IF(G16="AGENTE APERTURA",'Semana 1'!$L16+0.014,IF(G16="AGENTE CIERRE",'Semana 1'!$L16+0.014," - ")))))</f>
        <v> - </v>
      </c>
      <c r="N16" s="21"/>
      <c r="O16" s="21" t="str">
        <f>IF(G16="AGENTE",'Semana 1'!$N16+0.007,IF(G16="REDES",'Semana 1'!$N16+0.007,IF(G16="AGENTE RM",'Semana 1'!$N16+0.007,IF(G16="AGENTE APERTURA",'Semana 1'!$N16+0.007,IF(G16="AGENTE CIERRE",'Semana 1'!$N16+0.007," - ")))))</f>
        <v> - </v>
      </c>
      <c r="P16" s="22" t="str">
        <f t="shared" si="2"/>
        <v>-1.0</v>
      </c>
      <c r="Q16" s="21"/>
      <c r="R16" s="21" t="str">
        <f t="shared" si="10"/>
        <v/>
      </c>
      <c r="S16" s="28"/>
      <c r="T16" s="28"/>
      <c r="U16" s="21"/>
      <c r="V16" s="21" t="str">
        <f t="shared" ref="V16:V18" si="19">IF(U16=0,"",U16+0.021)</f>
        <v/>
      </c>
      <c r="W16" s="28"/>
      <c r="X16" s="28" t="str">
        <f>IF(W16=0,"",W16+0.021)</f>
        <v/>
      </c>
      <c r="Y16" s="22" t="str">
        <f t="shared" si="7"/>
        <v>0.0</v>
      </c>
      <c r="Z16" s="22" t="str">
        <f t="shared" ref="Z16:AC16" si="18">$P16</f>
        <v>-1.0</v>
      </c>
      <c r="AA16" s="22" t="str">
        <f t="shared" si="18"/>
        <v>-1.0</v>
      </c>
      <c r="AB16" s="22" t="str">
        <f t="shared" si="18"/>
        <v>-1.0</v>
      </c>
      <c r="AC16" s="22" t="str">
        <f t="shared" si="18"/>
        <v>-1.0</v>
      </c>
      <c r="AD16" s="23" t="str">
        <f t="shared" si="4"/>
        <v>-5</v>
      </c>
    </row>
    <row r="17">
      <c r="B17" s="18">
        <v>12.0</v>
      </c>
      <c r="C17" s="18" t="s">
        <v>38</v>
      </c>
      <c r="D17" s="19"/>
      <c r="E17" s="20" t="str">
        <f>Personal!G17</f>
        <v>Jennifer Alicia Boror Rodriguez</v>
      </c>
      <c r="F17" s="20" t="s">
        <v>13</v>
      </c>
      <c r="G17" s="20" t="str">
        <f>Personal!H17</f>
        <v>REDES</v>
      </c>
      <c r="H17" s="24">
        <v>0.2708333333333333</v>
      </c>
      <c r="I17" s="24" t="str">
        <f t="shared" si="5"/>
        <v>15:30</v>
      </c>
      <c r="J17" s="24">
        <v>0.5416666666666666</v>
      </c>
      <c r="K17" s="24" t="str">
        <f>IF(G17="AGENTE",'Semana 1'!$J17+0.042,IF(G17="REDES",'Semana 1'!$J17+0.042,IF(G17="AGENTE RM",'Semana 1'!$J17+0.042,IF(G17="AGENTE APERTURA",'Semana 1'!$J17+0.021,IF(G17="AGENTE CIERRE",'Semana 1'!$J17+0.021," - ")))))</f>
        <v>14:00</v>
      </c>
      <c r="L17" s="24">
        <v>0.34722222222222227</v>
      </c>
      <c r="M17" s="24" t="str">
        <f>IF(G17="AGENTE",'Semana 1'!$L17+0.014,IF(G17="REDES",'Semana 1'!$L17+0.014,IF(G17="AGENTE RM",'Semana 1'!$L17+0.014,IF(G17="AGENTE APERTURA",'Semana 1'!$L17+0.014,IF(G17="AGENTE CIERRE",'Semana 1'!$L17+0.014," - ")))))</f>
        <v>8:40</v>
      </c>
      <c r="N17" s="24">
        <v>0.5902777777777778</v>
      </c>
      <c r="O17" s="24" t="str">
        <f>IF(G17="AGENTE",'Semana 1'!$N17+0.007,IF(G17="REDES",'Semana 1'!$N17+0.007,IF(G17="AGENTE RM",'Semana 1'!$N17+0.007,IF(G17="AGENTE APERTURA",'Semana 1'!$N17+0.007,IF(G17="AGENTE CIERRE",'Semana 1'!$N17+0.007," - ")))))</f>
        <v>14:20</v>
      </c>
      <c r="P17" s="25" t="str">
        <f t="shared" si="2"/>
        <v>8.0</v>
      </c>
      <c r="Q17" s="24">
        <v>0.2708333333333333</v>
      </c>
      <c r="R17" s="24" t="str">
        <f t="shared" si="10"/>
        <v>11:30</v>
      </c>
      <c r="S17" s="26"/>
      <c r="T17" s="26"/>
      <c r="U17" s="24">
        <v>0.3125</v>
      </c>
      <c r="V17" s="24" t="str">
        <f t="shared" si="19"/>
        <v>8:00</v>
      </c>
      <c r="W17" s="26"/>
      <c r="X17" s="26"/>
      <c r="Y17" s="25" t="str">
        <f t="shared" si="7"/>
        <v>5.0</v>
      </c>
      <c r="Z17" s="25" t="str">
        <f t="shared" ref="Z17:AC17" si="20">$P17</f>
        <v>8.0</v>
      </c>
      <c r="AA17" s="25" t="str">
        <f t="shared" si="20"/>
        <v>8.0</v>
      </c>
      <c r="AB17" s="25" t="str">
        <f t="shared" si="20"/>
        <v>8.0</v>
      </c>
      <c r="AC17" s="25" t="str">
        <f t="shared" si="20"/>
        <v>8.0</v>
      </c>
      <c r="AD17" s="27" t="str">
        <f t="shared" si="4"/>
        <v>45</v>
      </c>
    </row>
    <row r="18">
      <c r="B18" s="18">
        <v>13.0</v>
      </c>
      <c r="C18" s="18" t="s">
        <v>39</v>
      </c>
      <c r="D18" s="19"/>
      <c r="E18" s="20" t="str">
        <f>Personal!G18</f>
        <v>-</v>
      </c>
      <c r="F18" s="20" t="s">
        <v>13</v>
      </c>
      <c r="G18" s="20" t="str">
        <f>Personal!H18</f>
        <v>-</v>
      </c>
      <c r="H18" s="21"/>
      <c r="I18" s="21" t="str">
        <f t="shared" si="5"/>
        <v> </v>
      </c>
      <c r="J18" s="21"/>
      <c r="K18" s="21" t="str">
        <f>IF(G18="AGENTE",'Semana 1'!$J18+0.042,IF(G18="REDES",'Semana 1'!$J18+0.042,IF(G18="AGENTE RM",'Semana 1'!$J18+0.042,IF(G18="AGENTE APERTURA",'Semana 1'!$J18+0.021,IF(G18="AGENTE CIERRE",'Semana 1'!$J18+0.021," - ")))))</f>
        <v> - </v>
      </c>
      <c r="L18" s="21"/>
      <c r="M18" s="21" t="str">
        <f>IF(G18="AGENTE",'Semana 1'!$L18+0.014,IF(G18="REDES",'Semana 1'!$L18+0.014,IF(G18="AGENTE RM",'Semana 1'!$L18+0.014,IF(G18="AGENTE APERTURA",'Semana 1'!$L18+0.014,IF(G18="AGENTE CIERRE",'Semana 1'!$L18+0.014," - ")))))</f>
        <v> - </v>
      </c>
      <c r="N18" s="21"/>
      <c r="O18" s="21" t="str">
        <f>IF(G18="AGENTE",'Semana 1'!$N18+0.007,IF(G18="REDES",'Semana 1'!$N18+0.007,IF(G18="AGENTE RM",'Semana 1'!$N18+0.007,IF(G18="AGENTE APERTURA",'Semana 1'!$N18+0.007,IF(G18="AGENTE CIERRE",'Semana 1'!$N18+0.007," - ")))))</f>
        <v> - </v>
      </c>
      <c r="P18" s="22" t="str">
        <f t="shared" si="2"/>
        <v>-1.0</v>
      </c>
      <c r="Q18" s="21"/>
      <c r="R18" s="21" t="str">
        <f t="shared" si="10"/>
        <v/>
      </c>
      <c r="S18" s="21"/>
      <c r="T18" s="21"/>
      <c r="U18" s="21"/>
      <c r="V18" s="21" t="str">
        <f t="shared" si="19"/>
        <v/>
      </c>
      <c r="W18" s="21"/>
      <c r="X18" s="21"/>
      <c r="Y18" s="22" t="str">
        <f t="shared" si="7"/>
        <v>0.0</v>
      </c>
      <c r="Z18" s="22" t="str">
        <f t="shared" ref="Z18:AC18" si="21">$P18</f>
        <v>-1.0</v>
      </c>
      <c r="AA18" s="22" t="str">
        <f t="shared" si="21"/>
        <v>-1.0</v>
      </c>
      <c r="AB18" s="22" t="str">
        <f t="shared" si="21"/>
        <v>-1.0</v>
      </c>
      <c r="AC18" s="22" t="str">
        <f t="shared" si="21"/>
        <v>-1.0</v>
      </c>
      <c r="AD18" s="23" t="str">
        <f t="shared" si="4"/>
        <v>-5</v>
      </c>
    </row>
    <row r="19">
      <c r="B19" s="18">
        <v>14.0</v>
      </c>
      <c r="C19" s="18" t="s">
        <v>38</v>
      </c>
      <c r="D19" s="19"/>
      <c r="E19" s="20" t="str">
        <f>Personal!G19</f>
        <v>Juan José Puluc Chaicoj</v>
      </c>
      <c r="F19" s="20" t="s">
        <v>13</v>
      </c>
      <c r="G19" s="20" t="str">
        <f>Personal!H19</f>
        <v>SOPORTE</v>
      </c>
      <c r="H19" s="24"/>
      <c r="I19" s="24" t="str">
        <f t="shared" si="5"/>
        <v> </v>
      </c>
      <c r="J19" s="24"/>
      <c r="K19" s="24" t="str">
        <f>IF(G19="AGENTE",'Semana 1'!$J19+0.042,IF(G19="REDES",'Semana 1'!$J19+0.042,IF(G19="AGENTE RM",'Semana 1'!$J19+0.042,IF(G19="AGENTE APERTURA",'Semana 1'!$J19+0.021,IF(G19="AGENTE CIERRE",'Semana 1'!$J19+0.021," - ")))))</f>
        <v> - </v>
      </c>
      <c r="L19" s="24"/>
      <c r="M19" s="24" t="str">
        <f>IF(G19="AGENTE",'Semana 1'!$L19+0.014,IF(G19="REDES",'Semana 1'!$L19+0.014,IF(G19="AGENTE RM",'Semana 1'!$L19+0.014,IF(G19="AGENTE APERTURA",'Semana 1'!$L19+0.014,IF(G19="AGENTE CIERRE",'Semana 1'!$L19+0.014," - ")))))</f>
        <v> - </v>
      </c>
      <c r="N19" s="24"/>
      <c r="O19" s="24" t="str">
        <f>IF(G19="AGENTE",'Semana 1'!$N19+0.007,IF(G19="REDES",'Semana 1'!$N19+0.007,IF(G19="AGENTE RM",'Semana 1'!$N19+0.007,IF(G19="AGENTE APERTURA",'Semana 1'!$N19+0.007,IF(G19="AGENTE CIERRE",'Semana 1'!$N19+0.007," - ")))))</f>
        <v> - </v>
      </c>
      <c r="P19" s="25" t="str">
        <f t="shared" si="2"/>
        <v>-1.0</v>
      </c>
      <c r="Q19" s="24"/>
      <c r="R19" s="24" t="str">
        <f t="shared" si="10"/>
        <v/>
      </c>
      <c r="S19" s="26"/>
      <c r="T19" s="26"/>
      <c r="U19" s="24"/>
      <c r="V19" s="24"/>
      <c r="W19" s="26"/>
      <c r="X19" s="26"/>
      <c r="Y19" s="25" t="str">
        <f t="shared" si="7"/>
        <v>0.0</v>
      </c>
      <c r="Z19" s="25" t="str">
        <f t="shared" ref="Z19:AC19" si="22">$P19</f>
        <v>-1.0</v>
      </c>
      <c r="AA19" s="25" t="str">
        <f t="shared" si="22"/>
        <v>-1.0</v>
      </c>
      <c r="AB19" s="25" t="str">
        <f t="shared" si="22"/>
        <v>-1.0</v>
      </c>
      <c r="AC19" s="25" t="str">
        <f t="shared" si="22"/>
        <v>-1.0</v>
      </c>
      <c r="AD19" s="27" t="str">
        <f t="shared" si="4"/>
        <v>-5</v>
      </c>
    </row>
    <row r="20">
      <c r="B20" s="18">
        <v>15.0</v>
      </c>
      <c r="C20" s="18" t="s">
        <v>38</v>
      </c>
      <c r="D20" s="19"/>
      <c r="E20" s="20" t="str">
        <f>Personal!G20</f>
        <v>Lydicen Anabelly Navarijo Padilla</v>
      </c>
      <c r="F20" s="20" t="s">
        <v>13</v>
      </c>
      <c r="G20" s="20" t="str">
        <f>Personal!H20</f>
        <v>AGENTE RM</v>
      </c>
      <c r="H20" s="21">
        <v>0.375</v>
      </c>
      <c r="I20" s="21" t="str">
        <f t="shared" si="5"/>
        <v>18:00</v>
      </c>
      <c r="J20" s="21">
        <v>0.5833333333333334</v>
      </c>
      <c r="K20" s="21" t="str">
        <f>IF(G20="AGENTE",'Semana 1'!$J20+0.042,IF(G20="REDES",'Semana 1'!$J20+0.042,IF(G20="AGENTE RM",'Semana 1'!$J20+0.042,IF(G20="AGENTE APERTURA",'Semana 1'!$J20+0.021,IF(G20="AGENTE CIERRE",'Semana 1'!$J20+0.021," - ")))))</f>
        <v>15:00</v>
      </c>
      <c r="L20" s="21">
        <v>0.3958333333333333</v>
      </c>
      <c r="M20" s="21" t="str">
        <f>IF(G20="AGENTE",'Semana 1'!$L20+0.014,IF(G20="REDES",'Semana 1'!$L20+0.014,IF(G20="AGENTE RM",'Semana 1'!$L20+0.014,IF(G20="AGENTE APERTURA",'Semana 1'!$L20+0.014,IF(G20="AGENTE CIERRE",'Semana 1'!$L20+0.014," - ")))))</f>
        <v>9:50</v>
      </c>
      <c r="N20" s="21">
        <v>0.6666666666666666</v>
      </c>
      <c r="O20" s="21" t="str">
        <f>IF(G20="AGENTE",'Semana 1'!$N20+0.007,IF(G20="REDES",'Semana 1'!$N20+0.007,IF(G20="AGENTE RM",'Semana 1'!$N20+0.007,IF(G20="AGENTE APERTURA",'Semana 1'!$N20+0.007,IF(G20="AGENTE CIERRE",'Semana 1'!$N20+0.007," - ")))))</f>
        <v>16:10</v>
      </c>
      <c r="P20" s="22" t="str">
        <f t="shared" si="2"/>
        <v>8.0</v>
      </c>
      <c r="Q20" s="21">
        <v>0.4166666666666667</v>
      </c>
      <c r="R20" s="21" t="str">
        <f t="shared" si="10"/>
        <v>15:00</v>
      </c>
      <c r="S20" s="28"/>
      <c r="T20" s="28"/>
      <c r="U20" s="21">
        <v>0.4375</v>
      </c>
      <c r="V20" s="21" t="str">
        <f t="shared" ref="V20:V25" si="24">IF(U20=0,"",U20+0.021)</f>
        <v>11:00</v>
      </c>
      <c r="W20" s="28"/>
      <c r="X20" s="28"/>
      <c r="Y20" s="22" t="str">
        <f t="shared" si="7"/>
        <v>5.0</v>
      </c>
      <c r="Z20" s="22" t="str">
        <f t="shared" ref="Z20:AC20" si="23">$P20</f>
        <v>8.0</v>
      </c>
      <c r="AA20" s="22" t="str">
        <f t="shared" si="23"/>
        <v>8.0</v>
      </c>
      <c r="AB20" s="22" t="str">
        <f t="shared" si="23"/>
        <v>8.0</v>
      </c>
      <c r="AC20" s="22" t="str">
        <f t="shared" si="23"/>
        <v>8.0</v>
      </c>
      <c r="AD20" s="23" t="str">
        <f t="shared" si="4"/>
        <v>45</v>
      </c>
    </row>
    <row r="21" ht="15.75" customHeight="1">
      <c r="B21" s="18">
        <v>16.0</v>
      </c>
      <c r="C21" s="18" t="s">
        <v>38</v>
      </c>
      <c r="D21" s="19"/>
      <c r="E21" s="20" t="str">
        <f>Personal!G21</f>
        <v>Cindy Melissa Aroche Ortiz</v>
      </c>
      <c r="F21" s="20" t="s">
        <v>13</v>
      </c>
      <c r="G21" s="20" t="str">
        <f>Personal!H21</f>
        <v>CONTROL</v>
      </c>
      <c r="H21" s="24"/>
      <c r="I21" s="24" t="str">
        <f t="shared" si="5"/>
        <v> </v>
      </c>
      <c r="J21" s="24"/>
      <c r="K21" s="24" t="str">
        <f>IF(G21="AGENTE",'Semana 1'!$J21+0.042,IF(G21="REDES",'Semana 1'!$J21+0.042,IF(G21="AGENTE RM",'Semana 1'!$J21+0.042,IF(G21="AGENTE APERTURA",'Semana 1'!$J21+0.021,IF(G21="AGENTE CIERRE",'Semana 1'!$J21+0.021," - ")))))</f>
        <v> - </v>
      </c>
      <c r="L21" s="24"/>
      <c r="M21" s="24" t="str">
        <f>IF(G21="AGENTE",'Semana 1'!$L21+0.014,IF(G21="REDES",'Semana 1'!$L21+0.014,IF(G21="AGENTE RM",'Semana 1'!$L21+0.014,IF(G21="AGENTE APERTURA",'Semana 1'!$L21+0.014,IF(G21="AGENTE CIERRE",'Semana 1'!$L21+0.014," - ")))))</f>
        <v> - </v>
      </c>
      <c r="N21" s="24"/>
      <c r="O21" s="24" t="str">
        <f>IF(G21="AGENTE",'Semana 1'!$N21+0.007,IF(G21="REDES",'Semana 1'!$N21+0.007,IF(G21="AGENTE RM",'Semana 1'!$N21+0.007,IF(G21="AGENTE APERTURA",'Semana 1'!$N21+0.007,IF(G21="AGENTE CIERRE",'Semana 1'!$N21+0.007," - ")))))</f>
        <v> - </v>
      </c>
      <c r="P21" s="25" t="str">
        <f t="shared" si="2"/>
        <v>-1.0</v>
      </c>
      <c r="Q21" s="24"/>
      <c r="R21" s="24" t="str">
        <f t="shared" si="10"/>
        <v/>
      </c>
      <c r="S21" s="26"/>
      <c r="T21" s="26"/>
      <c r="U21" s="24"/>
      <c r="V21" s="24" t="str">
        <f t="shared" si="24"/>
        <v/>
      </c>
      <c r="W21" s="26"/>
      <c r="X21" s="26"/>
      <c r="Y21" s="25" t="str">
        <f t="shared" si="7"/>
        <v>0.0</v>
      </c>
      <c r="Z21" s="25" t="str">
        <f t="shared" ref="Z21:AC21" si="25">$P21</f>
        <v>-1.0</v>
      </c>
      <c r="AA21" s="25" t="str">
        <f t="shared" si="25"/>
        <v>-1.0</v>
      </c>
      <c r="AB21" s="25" t="str">
        <f t="shared" si="25"/>
        <v>-1.0</v>
      </c>
      <c r="AC21" s="25" t="str">
        <f t="shared" si="25"/>
        <v>-1.0</v>
      </c>
      <c r="AD21" s="27" t="str">
        <f t="shared" si="4"/>
        <v>-5</v>
      </c>
    </row>
    <row r="22" ht="15.75" customHeight="1">
      <c r="B22" s="18">
        <v>17.0</v>
      </c>
      <c r="C22" s="18" t="s">
        <v>38</v>
      </c>
      <c r="D22" s="19"/>
      <c r="E22" s="20" t="str">
        <f>Personal!G22</f>
        <v>Katherin Gabriela Monzon Vivar</v>
      </c>
      <c r="F22" s="20" t="s">
        <v>13</v>
      </c>
      <c r="G22" s="20" t="str">
        <f>Personal!H22</f>
        <v>AGENTE</v>
      </c>
      <c r="H22" s="21">
        <v>0.3333333333333333</v>
      </c>
      <c r="I22" s="21" t="str">
        <f t="shared" si="5"/>
        <v>17:00</v>
      </c>
      <c r="J22" s="21">
        <v>0.5625</v>
      </c>
      <c r="K22" s="21" t="str">
        <f>IF(G22="AGENTE",'Semana 1'!$J22+0.042,IF(G22="REDES",'Semana 1'!$J22+0.042,IF(G22="AGENTE RM",'Semana 1'!$J22+0.042,IF(G22="AGENTE APERTURA",'Semana 1'!$J22+0.021,IF(G22="AGENTE CIERRE",'Semana 1'!$J22+0.021," - ")))))</f>
        <v>14:30</v>
      </c>
      <c r="L22" s="21">
        <v>0.3854166666666667</v>
      </c>
      <c r="M22" s="21" t="str">
        <f>IF(G22="AGENTE",'Semana 1'!$L22+0.014,IF(G22="REDES",'Semana 1'!$L22+0.014,IF(G22="AGENTE RM",'Semana 1'!$L22+0.014,IF(G22="AGENTE APERTURA",'Semana 1'!$L22+0.014,IF(G22="AGENTE CIERRE",'Semana 1'!$L22+0.014," - ")))))</f>
        <v>9:35</v>
      </c>
      <c r="N22" s="21">
        <v>0.6979166666666666</v>
      </c>
      <c r="O22" s="21" t="str">
        <f>IF(G22="AGENTE",'Semana 1'!$N22+0.007,IF(G22="REDES",'Semana 1'!$N22+0.007,IF(G22="AGENTE RM",'Semana 1'!$N22+0.007,IF(G22="AGENTE APERTURA",'Semana 1'!$N22+0.007,IF(G22="AGENTE CIERRE",'Semana 1'!$N22+0.007," - ")))))</f>
        <v>16:55</v>
      </c>
      <c r="P22" s="22" t="str">
        <f t="shared" si="2"/>
        <v>8.0</v>
      </c>
      <c r="Q22" s="21">
        <v>0.3333333333333333</v>
      </c>
      <c r="R22" s="21" t="str">
        <f t="shared" si="10"/>
        <v>13:00</v>
      </c>
      <c r="S22" s="28"/>
      <c r="T22" s="28"/>
      <c r="U22" s="21">
        <v>0.3541666666666667</v>
      </c>
      <c r="V22" s="21" t="str">
        <f t="shared" si="24"/>
        <v>9:00</v>
      </c>
      <c r="W22" s="28"/>
      <c r="X22" s="28"/>
      <c r="Y22" s="22" t="str">
        <f t="shared" si="7"/>
        <v>5.0</v>
      </c>
      <c r="Z22" s="22" t="str">
        <f t="shared" ref="Z22:AC22" si="26">$P22</f>
        <v>8.0</v>
      </c>
      <c r="AA22" s="22" t="str">
        <f t="shared" si="26"/>
        <v>8.0</v>
      </c>
      <c r="AB22" s="22" t="str">
        <f t="shared" si="26"/>
        <v>8.0</v>
      </c>
      <c r="AC22" s="22" t="str">
        <f t="shared" si="26"/>
        <v>8.0</v>
      </c>
      <c r="AD22" s="23" t="str">
        <f t="shared" si="4"/>
        <v>45</v>
      </c>
    </row>
    <row r="23" ht="15.75" customHeight="1">
      <c r="B23" s="18">
        <v>18.0</v>
      </c>
      <c r="C23" s="18" t="s">
        <v>38</v>
      </c>
      <c r="D23" s="19"/>
      <c r="E23" s="20" t="str">
        <f>Personal!G23</f>
        <v>Velvet Esmeralda Quiroz Godinez</v>
      </c>
      <c r="F23" s="20" t="s">
        <v>13</v>
      </c>
      <c r="G23" s="20" t="str">
        <f>Personal!H23</f>
        <v>AGENTE RM</v>
      </c>
      <c r="H23" s="24">
        <v>0.3125</v>
      </c>
      <c r="I23" s="24" t="str">
        <f t="shared" si="5"/>
        <v>16:30</v>
      </c>
      <c r="J23" s="24">
        <v>0.5416666666666666</v>
      </c>
      <c r="K23" s="24" t="str">
        <f>IF(G23="AGENTE",'Semana 1'!$J23+0.042,IF(G23="REDES",'Semana 1'!$J23+0.042,IF(G23="AGENTE RM",'Semana 1'!$J23+0.042,IF(G23="AGENTE APERTURA",'Semana 1'!$J23+0.021,IF(G23="AGENTE CIERRE",'Semana 1'!$J23+0.021," - ")))))</f>
        <v>14:00</v>
      </c>
      <c r="L23" s="24">
        <v>0.34722222222222227</v>
      </c>
      <c r="M23" s="24" t="str">
        <f>IF(G23="AGENTE",'Semana 1'!$L23+0.014,IF(G23="REDES",'Semana 1'!$L23+0.014,IF(G23="AGENTE RM",'Semana 1'!$L23+0.014,IF(G23="AGENTE APERTURA",'Semana 1'!$L23+0.014,IF(G23="AGENTE CIERRE",'Semana 1'!$L23+0.014," - ")))))</f>
        <v>8:40</v>
      </c>
      <c r="N23" s="24">
        <v>0.6041666666666666</v>
      </c>
      <c r="O23" s="24" t="str">
        <f>IF(G23="AGENTE",'Semana 1'!$N23+0.007,IF(G23="REDES",'Semana 1'!$N23+0.007,IF(G23="AGENTE RM",'Semana 1'!$N23+0.007,IF(G23="AGENTE APERTURA",'Semana 1'!$N23+0.007,IF(G23="AGENTE CIERRE",'Semana 1'!$N23+0.007," - ")))))</f>
        <v>14:40</v>
      </c>
      <c r="P23" s="25" t="str">
        <f t="shared" si="2"/>
        <v>8.0</v>
      </c>
      <c r="Q23" s="24">
        <v>0.375</v>
      </c>
      <c r="R23" s="24" t="str">
        <f t="shared" si="10"/>
        <v>14:00</v>
      </c>
      <c r="S23" s="26"/>
      <c r="T23" s="26" t="str">
        <f>IF(S23=0,"",S23+0.041)</f>
        <v/>
      </c>
      <c r="U23" s="24">
        <v>0.4166666666666667</v>
      </c>
      <c r="V23" s="24" t="str">
        <f t="shared" si="24"/>
        <v>10:30</v>
      </c>
      <c r="W23" s="26"/>
      <c r="X23" s="26" t="str">
        <f>IF(W23=0,"",W23+0.01)</f>
        <v/>
      </c>
      <c r="Y23" s="25" t="str">
        <f t="shared" si="7"/>
        <v>5.0</v>
      </c>
      <c r="Z23" s="25" t="str">
        <f t="shared" ref="Z23:AC23" si="27">$P23</f>
        <v>8.0</v>
      </c>
      <c r="AA23" s="25" t="str">
        <f t="shared" si="27"/>
        <v>8.0</v>
      </c>
      <c r="AB23" s="25" t="str">
        <f t="shared" si="27"/>
        <v>8.0</v>
      </c>
      <c r="AC23" s="25" t="str">
        <f t="shared" si="27"/>
        <v>8.0</v>
      </c>
      <c r="AD23" s="27" t="str">
        <f t="shared" si="4"/>
        <v>45</v>
      </c>
    </row>
    <row r="24" ht="15.75" customHeight="1">
      <c r="B24" s="18">
        <v>19.0</v>
      </c>
      <c r="C24" s="18" t="s">
        <v>38</v>
      </c>
      <c r="D24" s="19"/>
      <c r="E24" s="20" t="str">
        <f>Personal!G24</f>
        <v>Marcela Alessandra López Melgar</v>
      </c>
      <c r="F24" s="20" t="s">
        <v>13</v>
      </c>
      <c r="G24" s="20" t="str">
        <f>Personal!H24</f>
        <v>REDES</v>
      </c>
      <c r="H24" s="21">
        <v>0.2708333333333333</v>
      </c>
      <c r="I24" s="21" t="str">
        <f t="shared" si="5"/>
        <v>15:30</v>
      </c>
      <c r="J24" s="21">
        <v>0.5416666666666666</v>
      </c>
      <c r="K24" s="21" t="str">
        <f>IF(G24="AGENTE",'Semana 1'!$J24+0.042,IF(G24="REDES",'Semana 1'!$J24+0.042,IF(G24="AGENTE RM",'Semana 1'!$J24+0.042,IF(G24="AGENTE APERTURA",'Semana 1'!$J24+0.021,IF(G24="AGENTE CIERRE",'Semana 1'!$J24+0.021," - ")))))</f>
        <v>14:00</v>
      </c>
      <c r="L24" s="21">
        <v>0.3333333333333333</v>
      </c>
      <c r="M24" s="21" t="str">
        <f>IF(G24="AGENTE",'Semana 1'!$L24+0.014,IF(G24="REDES",'Semana 1'!$L24+0.014,IF(G24="AGENTE RM",'Semana 1'!$L24+0.014,IF(G24="AGENTE APERTURA",'Semana 1'!$L24+0.014,IF(G24="AGENTE CIERRE",'Semana 1'!$L24+0.014," - ")))))</f>
        <v>8:20</v>
      </c>
      <c r="N24" s="21">
        <v>0.5833333333333334</v>
      </c>
      <c r="O24" s="21" t="str">
        <f>IF(G24="AGENTE",'Semana 1'!$N24+0.007,IF(G24="REDES",'Semana 1'!$N24+0.007,IF(G24="AGENTE RM",'Semana 1'!$N24+0.007,IF(G24="AGENTE APERTURA",'Semana 1'!$N24+0.007,IF(G24="AGENTE CIERRE",'Semana 1'!$N24+0.007," - ")))))</f>
        <v>14:10</v>
      </c>
      <c r="P24" s="22" t="str">
        <f t="shared" si="2"/>
        <v>8.0</v>
      </c>
      <c r="Q24" s="21">
        <v>0.2708333333333333</v>
      </c>
      <c r="R24" s="21" t="str">
        <f t="shared" si="10"/>
        <v>11:30</v>
      </c>
      <c r="S24" s="21"/>
      <c r="T24" s="21"/>
      <c r="U24" s="21">
        <v>0.3125</v>
      </c>
      <c r="V24" s="21" t="str">
        <f t="shared" si="24"/>
        <v>8:00</v>
      </c>
      <c r="W24" s="21"/>
      <c r="X24" s="21"/>
      <c r="Y24" s="22" t="str">
        <f t="shared" si="7"/>
        <v>5.0</v>
      </c>
      <c r="Z24" s="22" t="str">
        <f t="shared" ref="Z24:AC24" si="28">$P24</f>
        <v>8.0</v>
      </c>
      <c r="AA24" s="22" t="str">
        <f t="shared" si="28"/>
        <v>8.0</v>
      </c>
      <c r="AB24" s="22" t="str">
        <f t="shared" si="28"/>
        <v>8.0</v>
      </c>
      <c r="AC24" s="22" t="str">
        <f t="shared" si="28"/>
        <v>8.0</v>
      </c>
      <c r="AD24" s="23" t="str">
        <f t="shared" si="4"/>
        <v>45</v>
      </c>
    </row>
    <row r="25" ht="15.75" customHeight="1">
      <c r="B25" s="18">
        <v>20.0</v>
      </c>
      <c r="C25" s="18" t="s">
        <v>38</v>
      </c>
      <c r="D25" s="19"/>
      <c r="E25" s="20" t="str">
        <f>Personal!G25</f>
        <v>Ana Marilú González de la Cruz</v>
      </c>
      <c r="F25" s="20" t="s">
        <v>13</v>
      </c>
      <c r="G25" s="20" t="str">
        <f>Personal!H25</f>
        <v>SOPORTE</v>
      </c>
      <c r="H25" s="24"/>
      <c r="I25" s="24" t="str">
        <f t="shared" si="5"/>
        <v> </v>
      </c>
      <c r="J25" s="24"/>
      <c r="K25" s="24" t="str">
        <f>IF(G25="AGENTE",'Semana 1'!$J25+0.042,IF(G25="REDES",'Semana 1'!$J25+0.042,IF(G25="AGENTE RM",'Semana 1'!$J25+0.042,IF(G25="AGENTE APERTURA",'Semana 1'!$J25+0.021,IF(G25="AGENTE CIERRE",'Semana 1'!$J25+0.021," - ")))))</f>
        <v> - </v>
      </c>
      <c r="L25" s="24"/>
      <c r="M25" s="24" t="str">
        <f>IF(G25="AGENTE",'Semana 1'!$L25+0.014,IF(G25="REDES",'Semana 1'!$L25+0.014,IF(G25="AGENTE RM",'Semana 1'!$L25+0.014,IF(G25="AGENTE APERTURA",'Semana 1'!$L25+0.014,IF(G25="AGENTE CIERRE",'Semana 1'!$L25+0.014," - ")))))</f>
        <v> - </v>
      </c>
      <c r="N25" s="24"/>
      <c r="O25" s="24" t="str">
        <f>IF(G25="AGENTE",'Semana 1'!$N25+0.007,IF(G25="REDES",'Semana 1'!$N25+0.007,IF(G25="AGENTE RM",'Semana 1'!$N25+0.007,IF(G25="AGENTE APERTURA",'Semana 1'!$N25+0.007,IF(G25="AGENTE CIERRE",'Semana 1'!$N25+0.007," - ")))))</f>
        <v> - </v>
      </c>
      <c r="P25" s="25" t="str">
        <f t="shared" si="2"/>
        <v>-1.0</v>
      </c>
      <c r="Q25" s="24"/>
      <c r="R25" s="24" t="str">
        <f t="shared" si="10"/>
        <v/>
      </c>
      <c r="S25" s="26"/>
      <c r="T25" s="26"/>
      <c r="U25" s="24"/>
      <c r="V25" s="24" t="str">
        <f t="shared" si="24"/>
        <v/>
      </c>
      <c r="W25" s="26"/>
      <c r="X25" s="26"/>
      <c r="Y25" s="25" t="str">
        <f t="shared" si="7"/>
        <v>0.0</v>
      </c>
      <c r="Z25" s="25" t="str">
        <f t="shared" ref="Z25:AC25" si="29">$P25</f>
        <v>-1.0</v>
      </c>
      <c r="AA25" s="25" t="str">
        <f t="shared" si="29"/>
        <v>-1.0</v>
      </c>
      <c r="AB25" s="25" t="str">
        <f t="shared" si="29"/>
        <v>-1.0</v>
      </c>
      <c r="AC25" s="25" t="str">
        <f t="shared" si="29"/>
        <v>-1.0</v>
      </c>
      <c r="AD25" s="27" t="str">
        <f t="shared" si="4"/>
        <v>-5</v>
      </c>
    </row>
    <row r="26" ht="15.75" customHeight="1">
      <c r="B26" s="18">
        <v>21.0</v>
      </c>
      <c r="C26" s="18" t="s">
        <v>38</v>
      </c>
      <c r="D26" s="19"/>
      <c r="E26" s="20" t="str">
        <f>Personal!G26</f>
        <v>Ingrid Rebeca Santizo Lopez</v>
      </c>
      <c r="F26" s="20" t="s">
        <v>13</v>
      </c>
      <c r="G26" s="20" t="str">
        <f>Personal!H26</f>
        <v>AGENTE APERTURA</v>
      </c>
      <c r="H26" s="21">
        <v>0.0</v>
      </c>
      <c r="I26" s="21">
        <v>0.2916666666666667</v>
      </c>
      <c r="J26" s="21">
        <v>0.125</v>
      </c>
      <c r="K26" s="21" t="str">
        <f>IF(G26="AGENTE",'Semana 1'!$J26+0.042,IF(G26="REDES",'Semana 1'!$J26+0.042,IF(G26="AGENTE RM",'Semana 1'!$J26+0.042,IF(G26="AGENTE APERTURA",'Semana 1'!$J26+0.021,IF(G26="AGENTE CIERRE",'Semana 1'!$J26+0.021," - ")))))</f>
        <v>3:30</v>
      </c>
      <c r="L26" s="21">
        <v>0.14583333333333334</v>
      </c>
      <c r="M26" s="21" t="str">
        <f>IF(G26="AGENTE",'Semana 1'!$L26+0.014,IF(G26="REDES",'Semana 1'!$L26+0.014,IF(G26="AGENTE RM",'Semana 1'!$L26+0.014,IF(G26="AGENTE APERTURA",'Semana 1'!$L26+0.014,IF(G26="AGENTE CIERRE",'Semana 1'!$L26+0.014," - ")))))</f>
        <v>3:50</v>
      </c>
      <c r="N26" s="21">
        <v>0.15972222222222224</v>
      </c>
      <c r="O26" s="21" t="str">
        <f>IF(G26="AGENTE",'Semana 1'!$N26+0.007,IF(G26="REDES",'Semana 1'!$N26+0.007,IF(G26="AGENTE RM",'Semana 1'!$N26+0.007,IF(G26="AGENTE APERTURA",'Semana 1'!$N26+0.007,IF(G26="AGENTE CIERRE",'Semana 1'!$N26+0.007," - ")))))</f>
        <v>4:00</v>
      </c>
      <c r="P26" s="22" t="str">
        <f t="shared" si="2"/>
        <v>6.0</v>
      </c>
      <c r="Q26" s="21">
        <v>0.0</v>
      </c>
      <c r="R26" s="21">
        <v>0.2916666666666667</v>
      </c>
      <c r="S26" s="21">
        <v>0.125</v>
      </c>
      <c r="T26" s="21" t="str">
        <f>IF(G26="AGENTE",'Semana 1'!$S26+0.042,IF(G26="REDES",'Semana 1'!$S26+0.042,IF(G26="AGENTE RM",'Semana 1'!$S26+0.042,IF(G26="AGENTE APERTURA",'Semana 1'!$S26+0.021,IF(G26="AGENTE CIERRE",'Semana 1'!$S26+0.021," - ")))))</f>
        <v>3:30</v>
      </c>
      <c r="U26" s="21">
        <v>0.14583333333333334</v>
      </c>
      <c r="V26" s="21" t="str">
        <f>IF(G26="AGENTE",'Semana 1'!$U26+0.014,IF(G26="REDES",'Semana 1'!$U26+0.014,IF(G26="AGENTE RM",'Semana 1'!$U26+0.014,IF(G26="AGENTE APERTURA",'Semana 1'!$U26+0.014,IF(G26="AGENTE CIERRE",'Semana 1'!$U26+0.014," - ")))))</f>
        <v>3:50</v>
      </c>
      <c r="W26" s="21">
        <v>0.15972222222222224</v>
      </c>
      <c r="X26" s="21" t="str">
        <f>IF(G26="AGENTE",'Semana 1'!$W26+0.007,IF(G26="REDES",'Semana 1'!$W26+0.007,IF(G26="AGENTE RM",'Semana 1'!$W26+0.007,IF(G26="AGENTE APERTURA",'Semana 1'!$W26+0.007,IF(G26="AGENTE CIERRE",'Semana 1'!$W26+0.007," - ")))))</f>
        <v>4:00</v>
      </c>
      <c r="Y26" s="22" t="str">
        <f>(IFERROR(R26-Q26,0)*24)-1</f>
        <v>6.0</v>
      </c>
      <c r="Z26" s="22" t="str">
        <f t="shared" ref="Z26:AC26" si="30">$P26</f>
        <v>6.0</v>
      </c>
      <c r="AA26" s="22" t="str">
        <f t="shared" si="30"/>
        <v>6.0</v>
      </c>
      <c r="AB26" s="22" t="str">
        <f t="shared" si="30"/>
        <v>6.0</v>
      </c>
      <c r="AC26" s="22" t="str">
        <f t="shared" si="30"/>
        <v>6.0</v>
      </c>
      <c r="AD26" s="23" t="str">
        <f t="shared" si="4"/>
        <v>36</v>
      </c>
    </row>
    <row r="27" ht="15.75" customHeight="1">
      <c r="B27" s="18">
        <v>22.0</v>
      </c>
      <c r="C27" s="18" t="s">
        <v>39</v>
      </c>
      <c r="D27" s="19"/>
      <c r="E27" s="20" t="str">
        <f>Personal!G27</f>
        <v>-</v>
      </c>
      <c r="F27" s="20" t="s">
        <v>13</v>
      </c>
      <c r="G27" s="20" t="str">
        <f>Personal!H27</f>
        <v>-</v>
      </c>
      <c r="H27" s="24"/>
      <c r="I27" s="24" t="str">
        <f>IF(H27=0," ",IF(Q27=0,(H27+0.417),(H27+0.292)))</f>
        <v> </v>
      </c>
      <c r="J27" s="24"/>
      <c r="K27" s="24" t="str">
        <f>IF(G27="AGENTE",'Semana 1'!$J27+0.042,IF(G27="REDES",'Semana 1'!$J27+0.042,IF(G27="AGENTE RM",'Semana 1'!$J27+0.042,IF(G27="AGENTE APERTURA",'Semana 1'!$J27+0.021,IF(G27="AGENTE CIERRE",'Semana 1'!$J27+0.021," - ")))))</f>
        <v> - </v>
      </c>
      <c r="L27" s="24"/>
      <c r="M27" s="24" t="str">
        <f>IF(G27="AGENTE",'Semana 1'!$L27+0.014,IF(G27="REDES",'Semana 1'!$L27+0.014,IF(G27="AGENTE RM",'Semana 1'!$L27+0.014,IF(G27="AGENTE APERTURA",'Semana 1'!$L27+0.014,IF(G27="AGENTE CIERRE",'Semana 1'!$L27+0.014," - ")))))</f>
        <v> - </v>
      </c>
      <c r="N27" s="24"/>
      <c r="O27" s="24" t="str">
        <f>IF(G27="AGENTE",'Semana 1'!$N27+0.007,IF(G27="REDES",'Semana 1'!$N27+0.007,IF(G27="AGENTE RM",'Semana 1'!$N27+0.007,IF(G27="AGENTE APERTURA",'Semana 1'!$N27+0.007,IF(G27="AGENTE CIERRE",'Semana 1'!$N27+0.007," - ")))))</f>
        <v> - </v>
      </c>
      <c r="P27" s="25" t="str">
        <f t="shared" si="2"/>
        <v>-1.0</v>
      </c>
      <c r="Q27" s="24"/>
      <c r="R27" s="24" t="str">
        <f>IF(Q27=0," ",IF(Z27=0,(Q27+0.417),(Q27+0.292)))</f>
        <v> </v>
      </c>
      <c r="S27" s="26"/>
      <c r="T27" s="26" t="str">
        <f t="shared" ref="T27:T28" si="32">IF(S27=0,"",S27+0.041)</f>
        <v/>
      </c>
      <c r="U27" s="24"/>
      <c r="V27" s="24" t="str">
        <f t="shared" ref="V27:V28" si="33">IF(U27=0,"",U27+0.01)</f>
        <v/>
      </c>
      <c r="W27" s="26"/>
      <c r="X27" s="26" t="str">
        <f t="shared" ref="X27:X28" si="34">IF(W27=0,"",W27+0.01)</f>
        <v/>
      </c>
      <c r="Y27" s="25" t="str">
        <f t="shared" ref="Y27:Y52" si="35">(IFERROR(R27-Q27,0)*24)</f>
        <v>0.0</v>
      </c>
      <c r="Z27" s="25" t="str">
        <f t="shared" ref="Z27:AC27" si="31">$P27</f>
        <v>-1.0</v>
      </c>
      <c r="AA27" s="25" t="str">
        <f t="shared" si="31"/>
        <v>-1.0</v>
      </c>
      <c r="AB27" s="25" t="str">
        <f t="shared" si="31"/>
        <v>-1.0</v>
      </c>
      <c r="AC27" s="25" t="str">
        <f t="shared" si="31"/>
        <v>-1.0</v>
      </c>
      <c r="AD27" s="27" t="str">
        <f t="shared" si="4"/>
        <v>-5</v>
      </c>
    </row>
    <row r="28" ht="15.75" customHeight="1">
      <c r="B28" s="18">
        <v>23.0</v>
      </c>
      <c r="C28" s="18" t="s">
        <v>38</v>
      </c>
      <c r="D28" s="19"/>
      <c r="E28" s="20" t="str">
        <f>Personal!G28</f>
        <v>Byron Abdiel Santos Mejia</v>
      </c>
      <c r="F28" s="20" t="s">
        <v>13</v>
      </c>
      <c r="G28" s="20" t="str">
        <f>Personal!H28</f>
        <v>AGENTE</v>
      </c>
      <c r="H28" s="21">
        <v>0.375</v>
      </c>
      <c r="I28" s="21" t="str">
        <f t="shared" ref="I28:I32" si="37">IF(H28=0," ",IF(Q28=0,(H28+0.417),(H28+0.3756)))</f>
        <v>18:00</v>
      </c>
      <c r="J28" s="21">
        <v>0.625</v>
      </c>
      <c r="K28" s="21" t="str">
        <f>IF(G28="AGENTE",'Semana 1'!$J28+0.042,IF(G28="REDES",'Semana 1'!$J28+0.042,IF(G28="AGENTE RM",'Semana 1'!$J28+0.042,IF(G28="AGENTE APERTURA",'Semana 1'!$J28+0.021,IF(G28="AGENTE CIERRE",'Semana 1'!$J28+0.021," - ")))))</f>
        <v>16:00</v>
      </c>
      <c r="L28" s="21">
        <v>0.2916666666666667</v>
      </c>
      <c r="M28" s="21" t="str">
        <f>IF(G28="AGENTE",'Semana 1'!$L28+0.014,IF(G28="REDES",'Semana 1'!$L28+0.014,IF(G28="AGENTE RM",'Semana 1'!$L28+0.014,IF(G28="AGENTE APERTURA",'Semana 1'!$L28+0.014,IF(G28="AGENTE CIERRE",'Semana 1'!$L28+0.014," - ")))))</f>
        <v>7:20</v>
      </c>
      <c r="N28" s="21">
        <v>0.71875</v>
      </c>
      <c r="O28" s="21" t="str">
        <f>IF(G28="AGENTE",'Semana 1'!$N28+0.007,IF(G28="REDES",'Semana 1'!$N28+0.007,IF(G28="AGENTE RM",'Semana 1'!$N28+0.007,IF(G28="AGENTE APERTURA",'Semana 1'!$N28+0.007,IF(G28="AGENTE CIERRE",'Semana 1'!$N28+0.007," - ")))))</f>
        <v>17:25</v>
      </c>
      <c r="P28" s="22" t="str">
        <f t="shared" si="2"/>
        <v>8.0</v>
      </c>
      <c r="Q28" s="21">
        <v>0.375</v>
      </c>
      <c r="R28" s="21" t="str">
        <f t="shared" ref="R28:R32" si="38">IF(Q28=0,"",Q28+0.209)</f>
        <v>14:00</v>
      </c>
      <c r="S28" s="21"/>
      <c r="T28" s="21" t="str">
        <f t="shared" si="32"/>
        <v/>
      </c>
      <c r="U28" s="21">
        <v>0.3770833333333334</v>
      </c>
      <c r="V28" s="21" t="str">
        <f t="shared" si="33"/>
        <v>9:17</v>
      </c>
      <c r="W28" s="21"/>
      <c r="X28" s="21" t="str">
        <f t="shared" si="34"/>
        <v/>
      </c>
      <c r="Y28" s="22" t="str">
        <f t="shared" si="35"/>
        <v>5.0</v>
      </c>
      <c r="Z28" s="22" t="str">
        <f t="shared" ref="Z28:AC28" si="36">$P28</f>
        <v>8.0</v>
      </c>
      <c r="AA28" s="22" t="str">
        <f t="shared" si="36"/>
        <v>8.0</v>
      </c>
      <c r="AB28" s="22" t="str">
        <f t="shared" si="36"/>
        <v>8.0</v>
      </c>
      <c r="AC28" s="22" t="str">
        <f t="shared" si="36"/>
        <v>8.0</v>
      </c>
      <c r="AD28" s="23" t="str">
        <f t="shared" si="4"/>
        <v>45</v>
      </c>
    </row>
    <row r="29" ht="15.75" customHeight="1">
      <c r="B29" s="18">
        <v>24.0</v>
      </c>
      <c r="C29" s="18" t="s">
        <v>38</v>
      </c>
      <c r="D29" s="19"/>
      <c r="E29" s="20" t="str">
        <f>Personal!G29</f>
        <v>Karen Lisbeth Vega Ramirez</v>
      </c>
      <c r="F29" s="20" t="s">
        <v>13</v>
      </c>
      <c r="G29" s="20" t="str">
        <f>Personal!H29</f>
        <v>REDES</v>
      </c>
      <c r="H29" s="24">
        <v>0.375</v>
      </c>
      <c r="I29" s="24" t="str">
        <f t="shared" si="37"/>
        <v>18:00</v>
      </c>
      <c r="J29" s="24">
        <v>0.5</v>
      </c>
      <c r="K29" s="24" t="str">
        <f>IF(G29="AGENTE",'Semana 1'!$J29+0.042,IF(G29="REDES",'Semana 1'!$J29+0.042,IF(G29="AGENTE RM",'Semana 1'!$J29+0.042,IF(G29="AGENTE APERTURA",'Semana 1'!$J29+0.021,IF(G29="AGENTE CIERRE",'Semana 1'!$J29+0.021," - ")))))</f>
        <v>13:00</v>
      </c>
      <c r="L29" s="24">
        <v>0.4583333333333333</v>
      </c>
      <c r="M29" s="24" t="str">
        <f>IF(G29="AGENTE",'Semana 1'!$L29+0.014,IF(G29="REDES",'Semana 1'!$L29+0.014,IF(G29="AGENTE RM",'Semana 1'!$L29+0.014,IF(G29="AGENTE APERTURA",'Semana 1'!$L29+0.014,IF(G29="AGENTE CIERRE",'Semana 1'!$L29+0.014," - ")))))</f>
        <v>11:20</v>
      </c>
      <c r="N29" s="24">
        <v>0.6597222222222222</v>
      </c>
      <c r="O29" s="24" t="str">
        <f>IF(G29="AGENTE",'Semana 1'!$N29+0.007,IF(G29="REDES",'Semana 1'!$N29+0.007,IF(G29="AGENTE RM",'Semana 1'!$N29+0.007,IF(G29="AGENTE APERTURA",'Semana 1'!$N29+0.007,IF(G29="AGENTE CIERRE",'Semana 1'!$N29+0.007," - ")))))</f>
        <v>16:00</v>
      </c>
      <c r="P29" s="25" t="str">
        <f t="shared" si="2"/>
        <v>8.0</v>
      </c>
      <c r="Q29" s="24">
        <v>0.2708333333333333</v>
      </c>
      <c r="R29" s="24" t="str">
        <f t="shared" si="38"/>
        <v>11:30</v>
      </c>
      <c r="S29" s="26"/>
      <c r="T29" s="26"/>
      <c r="U29" s="24">
        <v>0.3333333333333333</v>
      </c>
      <c r="V29" s="24" t="str">
        <f t="shared" ref="V29:V32" si="40">IF(U29=0,"",U29+0.021)</f>
        <v>8:30</v>
      </c>
      <c r="W29" s="26"/>
      <c r="X29" s="26"/>
      <c r="Y29" s="25" t="str">
        <f t="shared" si="35"/>
        <v>5.0</v>
      </c>
      <c r="Z29" s="25" t="str">
        <f t="shared" ref="Z29:AC29" si="39">$P29</f>
        <v>8.0</v>
      </c>
      <c r="AA29" s="25" t="str">
        <f t="shared" si="39"/>
        <v>8.0</v>
      </c>
      <c r="AB29" s="25" t="str">
        <f t="shared" si="39"/>
        <v>8.0</v>
      </c>
      <c r="AC29" s="25" t="str">
        <f t="shared" si="39"/>
        <v>8.0</v>
      </c>
      <c r="AD29" s="27" t="str">
        <f t="shared" si="4"/>
        <v>45</v>
      </c>
    </row>
    <row r="30" ht="15.75" customHeight="1">
      <c r="B30" s="18">
        <v>25.0</v>
      </c>
      <c r="C30" s="18" t="s">
        <v>38</v>
      </c>
      <c r="D30" s="19"/>
      <c r="E30" s="20" t="str">
        <f>Personal!G30</f>
        <v>Osiris Azucena Leiva Leon</v>
      </c>
      <c r="F30" s="20" t="s">
        <v>13</v>
      </c>
      <c r="G30" s="20" t="str">
        <f>Personal!H30</f>
        <v>AGENTE</v>
      </c>
      <c r="H30" s="21">
        <v>0.2916666666666667</v>
      </c>
      <c r="I30" s="21" t="str">
        <f t="shared" si="37"/>
        <v>16:00</v>
      </c>
      <c r="J30" s="21">
        <v>0.5</v>
      </c>
      <c r="K30" s="21" t="str">
        <f>IF(G30="AGENTE",'Semana 1'!$J30+0.042,IF(G30="REDES",'Semana 1'!$J30+0.042,IF(G30="AGENTE RM",'Semana 1'!$J30+0.042,IF(G30="AGENTE APERTURA",'Semana 1'!$J30+0.021,IF(G30="AGENTE CIERRE",'Semana 1'!$J30+0.021," - ")))))</f>
        <v>13:00</v>
      </c>
      <c r="L30" s="21">
        <v>0.3541666666666667</v>
      </c>
      <c r="M30" s="21" t="str">
        <f>IF(G30="AGENTE",'Semana 1'!$L30+0.014,IF(G30="REDES",'Semana 1'!$L30+0.014,IF(G30="AGENTE RM",'Semana 1'!$L30+0.014,IF(G30="AGENTE APERTURA",'Semana 1'!$L30+0.014,IF(G30="AGENTE CIERRE",'Semana 1'!$L30+0.014," - ")))))</f>
        <v>8:50</v>
      </c>
      <c r="N30" s="21">
        <v>0.65625</v>
      </c>
      <c r="O30" s="21" t="str">
        <f>IF(G30="AGENTE",'Semana 1'!$N30+0.007,IF(G30="REDES",'Semana 1'!$N30+0.007,IF(G30="AGENTE RM",'Semana 1'!$N30+0.007,IF(G30="AGENTE APERTURA",'Semana 1'!$N30+0.007,IF(G30="AGENTE CIERRE",'Semana 1'!$N30+0.007," - ")))))</f>
        <v>15:55</v>
      </c>
      <c r="P30" s="22" t="str">
        <f t="shared" si="2"/>
        <v>8.0</v>
      </c>
      <c r="Q30" s="21">
        <v>0.4166666666666667</v>
      </c>
      <c r="R30" s="21" t="str">
        <f t="shared" si="38"/>
        <v>15:00</v>
      </c>
      <c r="S30" s="28"/>
      <c r="T30" s="28"/>
      <c r="U30" s="21">
        <v>0.4583333333333333</v>
      </c>
      <c r="V30" s="21" t="str">
        <f t="shared" si="40"/>
        <v>11:30</v>
      </c>
      <c r="W30" s="28"/>
      <c r="X30" s="28"/>
      <c r="Y30" s="22" t="str">
        <f t="shared" si="35"/>
        <v>5.0</v>
      </c>
      <c r="Z30" s="22" t="str">
        <f t="shared" ref="Z30:AC30" si="41">$P30</f>
        <v>8.0</v>
      </c>
      <c r="AA30" s="22" t="str">
        <f t="shared" si="41"/>
        <v>8.0</v>
      </c>
      <c r="AB30" s="22" t="str">
        <f t="shared" si="41"/>
        <v>8.0</v>
      </c>
      <c r="AC30" s="22" t="str">
        <f t="shared" si="41"/>
        <v>8.0</v>
      </c>
      <c r="AD30" s="23" t="str">
        <f t="shared" si="4"/>
        <v>45</v>
      </c>
    </row>
    <row r="31" ht="15.75" customHeight="1">
      <c r="B31" s="18">
        <v>26.0</v>
      </c>
      <c r="C31" s="18" t="s">
        <v>38</v>
      </c>
      <c r="D31" s="19"/>
      <c r="E31" s="20" t="str">
        <f>Personal!G31</f>
        <v>Gabriela Abigail Guzman Diaz</v>
      </c>
      <c r="F31" s="20" t="s">
        <v>13</v>
      </c>
      <c r="G31" s="20" t="str">
        <f>Personal!H31</f>
        <v>SOPORTE</v>
      </c>
      <c r="H31" s="24"/>
      <c r="I31" s="24" t="str">
        <f t="shared" si="37"/>
        <v> </v>
      </c>
      <c r="J31" s="24"/>
      <c r="K31" s="24" t="str">
        <f>IF(G31="AGENTE",'Semana 1'!$J31+0.042,IF(G31="REDES",'Semana 1'!$J31+0.042,IF(G31="AGENTE RM",'Semana 1'!$J31+0.042,IF(G31="AGENTE APERTURA",'Semana 1'!$J31+0.021,IF(G31="AGENTE CIERRE",'Semana 1'!$J31+0.021," - ")))))</f>
        <v> - </v>
      </c>
      <c r="L31" s="24"/>
      <c r="M31" s="24" t="str">
        <f>IF(G31="AGENTE",'Semana 1'!$L31+0.014,IF(G31="REDES",'Semana 1'!$L31+0.014,IF(G31="AGENTE RM",'Semana 1'!$L31+0.014,IF(G31="AGENTE APERTURA",'Semana 1'!$L31+0.014,IF(G31="AGENTE CIERRE",'Semana 1'!$L31+0.014," - ")))))</f>
        <v> - </v>
      </c>
      <c r="N31" s="24"/>
      <c r="O31" s="24" t="str">
        <f>IF(G31="AGENTE",'Semana 1'!$N31+0.007,IF(G31="REDES",'Semana 1'!$N31+0.007,IF(G31="AGENTE RM",'Semana 1'!$N31+0.007,IF(G31="AGENTE APERTURA",'Semana 1'!$N31+0.007,IF(G31="AGENTE CIERRE",'Semana 1'!$N31+0.007," - ")))))</f>
        <v> - </v>
      </c>
      <c r="P31" s="25" t="str">
        <f t="shared" si="2"/>
        <v>-1.0</v>
      </c>
      <c r="Q31" s="24"/>
      <c r="R31" s="24" t="str">
        <f t="shared" si="38"/>
        <v/>
      </c>
      <c r="S31" s="26"/>
      <c r="T31" s="26"/>
      <c r="U31" s="24"/>
      <c r="V31" s="24" t="str">
        <f t="shared" si="40"/>
        <v/>
      </c>
      <c r="W31" s="26"/>
      <c r="X31" s="26"/>
      <c r="Y31" s="25" t="str">
        <f t="shared" si="35"/>
        <v>0.0</v>
      </c>
      <c r="Z31" s="25" t="str">
        <f t="shared" ref="Z31:AC31" si="42">$P31</f>
        <v>-1.0</v>
      </c>
      <c r="AA31" s="25" t="str">
        <f t="shared" si="42"/>
        <v>-1.0</v>
      </c>
      <c r="AB31" s="25" t="str">
        <f t="shared" si="42"/>
        <v>-1.0</v>
      </c>
      <c r="AC31" s="25" t="str">
        <f t="shared" si="42"/>
        <v>-1.0</v>
      </c>
      <c r="AD31" s="27" t="str">
        <f t="shared" si="4"/>
        <v>-5</v>
      </c>
    </row>
    <row r="32" ht="15.75" customHeight="1">
      <c r="B32" s="18">
        <v>27.0</v>
      </c>
      <c r="C32" s="18" t="s">
        <v>38</v>
      </c>
      <c r="D32" s="19"/>
      <c r="E32" s="20" t="str">
        <f>Personal!G32</f>
        <v>Consuelo Magali Herrarte Bautista</v>
      </c>
      <c r="F32" s="20" t="s">
        <v>13</v>
      </c>
      <c r="G32" s="20" t="str">
        <f>Personal!H32</f>
        <v>AGENTE</v>
      </c>
      <c r="H32" s="21">
        <v>0.4166666666666667</v>
      </c>
      <c r="I32" s="21" t="str">
        <f t="shared" si="37"/>
        <v>19:00</v>
      </c>
      <c r="J32" s="21">
        <v>0.625</v>
      </c>
      <c r="K32" s="21" t="str">
        <f>IF(G32="AGENTE",'Semana 1'!$J32+0.042,IF(G32="REDES",'Semana 1'!$J32+0.042,IF(G32="AGENTE RM",'Semana 1'!$J32+0.042,IF(G32="AGENTE APERTURA",'Semana 1'!$J32+0.021,IF(G32="AGENTE CIERRE",'Semana 1'!$J32+0.021," - ")))))</f>
        <v>16:00</v>
      </c>
      <c r="L32" s="21">
        <v>0.4375</v>
      </c>
      <c r="M32" s="21" t="str">
        <f>IF(G32="AGENTE",'Semana 1'!$L32+0.014,IF(G32="REDES",'Semana 1'!$L32+0.014,IF(G32="AGENTE RM",'Semana 1'!$L32+0.014,IF(G32="AGENTE APERTURA",'Semana 1'!$L32+0.014,IF(G32="AGENTE CIERRE",'Semana 1'!$L32+0.014," - ")))))</f>
        <v>10:50</v>
      </c>
      <c r="N32" s="21">
        <v>0.75</v>
      </c>
      <c r="O32" s="21" t="str">
        <f>IF(G32="AGENTE",'Semana 1'!$N32+0.007,IF(G32="REDES",'Semana 1'!$N32+0.007,IF(G32="AGENTE RM",'Semana 1'!$N32+0.007,IF(G32="AGENTE APERTURA",'Semana 1'!$N32+0.007,IF(G32="AGENTE CIERRE",'Semana 1'!$N32+0.007," - ")))))</f>
        <v>18:10</v>
      </c>
      <c r="P32" s="22" t="str">
        <f t="shared" si="2"/>
        <v>8.0</v>
      </c>
      <c r="Q32" s="21">
        <v>0.4166666666666667</v>
      </c>
      <c r="R32" s="21" t="str">
        <f t="shared" si="38"/>
        <v>15:00</v>
      </c>
      <c r="S32" s="28"/>
      <c r="T32" s="28"/>
      <c r="U32" s="21">
        <v>0.4791666666666667</v>
      </c>
      <c r="V32" s="21" t="str">
        <f t="shared" si="40"/>
        <v>12:00</v>
      </c>
      <c r="W32" s="28"/>
      <c r="X32" s="28"/>
      <c r="Y32" s="22" t="str">
        <f t="shared" si="35"/>
        <v>5.0</v>
      </c>
      <c r="Z32" s="22" t="str">
        <f t="shared" ref="Z32:AC32" si="43">$P32</f>
        <v>8.0</v>
      </c>
      <c r="AA32" s="22" t="str">
        <f t="shared" si="43"/>
        <v>8.0</v>
      </c>
      <c r="AB32" s="22" t="str">
        <f t="shared" si="43"/>
        <v>8.0</v>
      </c>
      <c r="AC32" s="22" t="str">
        <f t="shared" si="43"/>
        <v>8.0</v>
      </c>
      <c r="AD32" s="23" t="str">
        <f t="shared" si="4"/>
        <v>45</v>
      </c>
    </row>
    <row r="33" ht="15.75" customHeight="1">
      <c r="B33" s="18">
        <v>28.0</v>
      </c>
      <c r="C33" s="18" t="s">
        <v>39</v>
      </c>
      <c r="D33" s="19"/>
      <c r="E33" s="20" t="str">
        <f>Personal!G33</f>
        <v>-</v>
      </c>
      <c r="F33" s="20" t="s">
        <v>13</v>
      </c>
      <c r="G33" s="20" t="str">
        <f>Personal!H33</f>
        <v>-</v>
      </c>
      <c r="H33" s="24"/>
      <c r="I33" s="24" t="str">
        <f>IF(H33=0," ",IF(Q33=0,(H33+0.417),(H33+0.292)))</f>
        <v> </v>
      </c>
      <c r="J33" s="24"/>
      <c r="K33" s="24" t="str">
        <f>IF(G33="AGENTE",'Semana 1'!$J33+0.042,IF(G33="REDES",'Semana 1'!$J33+0.042,IF(G33="AGENTE RM",'Semana 1'!$J33+0.042,IF(G33="AGENTE APERTURA",'Semana 1'!$J33+0.021,IF(G33="AGENTE CIERRE",'Semana 1'!$J33+0.021," - ")))))</f>
        <v> - </v>
      </c>
      <c r="L33" s="24"/>
      <c r="M33" s="24" t="str">
        <f>IF(G33="AGENTE",'Semana 1'!$L33+0.014,IF(G33="REDES",'Semana 1'!$L33+0.014,IF(G33="AGENTE RM",'Semana 1'!$L33+0.014,IF(G33="AGENTE APERTURA",'Semana 1'!$L33+0.014,IF(G33="AGENTE CIERRE",'Semana 1'!$L33+0.014," - ")))))</f>
        <v> - </v>
      </c>
      <c r="N33" s="24"/>
      <c r="O33" s="24" t="str">
        <f>IF(G33="AGENTE",'Semana 1'!$N33+0.007,IF(G33="REDES",'Semana 1'!$N33+0.007,IF(G33="AGENTE RM",'Semana 1'!$N33+0.007,IF(G33="AGENTE APERTURA",'Semana 1'!$N33+0.007,IF(G33="AGENTE CIERRE",'Semana 1'!$N33+0.007," - ")))))</f>
        <v> - </v>
      </c>
      <c r="P33" s="25" t="str">
        <f t="shared" si="2"/>
        <v>-1.0</v>
      </c>
      <c r="Q33" s="24"/>
      <c r="R33" s="24" t="str">
        <f>IF(Q33=0," ",IF(Z33=0,(Q33+0.417),(Q33+0.292)))</f>
        <v> </v>
      </c>
      <c r="S33" s="26"/>
      <c r="T33" s="26" t="str">
        <f t="shared" ref="T33:T35" si="45">IF(S33=0,"",S33+0.041)</f>
        <v/>
      </c>
      <c r="U33" s="24"/>
      <c r="V33" s="24" t="str">
        <f t="shared" ref="V33:V35" si="46">IF(U33=0,"",U33+0.01)</f>
        <v/>
      </c>
      <c r="W33" s="26"/>
      <c r="X33" s="26" t="str">
        <f t="shared" ref="X33:X35" si="47">IF(W33=0,"",W33+0.01)</f>
        <v/>
      </c>
      <c r="Y33" s="25" t="str">
        <f t="shared" si="35"/>
        <v>0.0</v>
      </c>
      <c r="Z33" s="25" t="str">
        <f t="shared" ref="Z33:AC33" si="44">$P33</f>
        <v>-1.0</v>
      </c>
      <c r="AA33" s="25" t="str">
        <f t="shared" si="44"/>
        <v>-1.0</v>
      </c>
      <c r="AB33" s="25" t="str">
        <f t="shared" si="44"/>
        <v>-1.0</v>
      </c>
      <c r="AC33" s="25" t="str">
        <f t="shared" si="44"/>
        <v>-1.0</v>
      </c>
      <c r="AD33" s="27" t="str">
        <f t="shared" si="4"/>
        <v>-5</v>
      </c>
    </row>
    <row r="34" ht="15.75" customHeight="1">
      <c r="B34" s="18">
        <v>29.0</v>
      </c>
      <c r="C34" s="18" t="s">
        <v>39</v>
      </c>
      <c r="D34" s="19"/>
      <c r="E34" s="20" t="str">
        <f>Personal!G34</f>
        <v>-</v>
      </c>
      <c r="F34" s="20" t="s">
        <v>13</v>
      </c>
      <c r="G34" s="20" t="str">
        <f>Personal!H34</f>
        <v>-</v>
      </c>
      <c r="H34" s="21"/>
      <c r="I34" s="21" t="str">
        <f t="shared" ref="I34:I38" si="49">IF(H34=0," ",IF(Q34=0,(H34+0.417),(H34+0.3756)))</f>
        <v> </v>
      </c>
      <c r="J34" s="21"/>
      <c r="K34" s="21" t="str">
        <f>IF(G34="AGENTE",'Semana 1'!$J34+0.042,IF(G34="REDES",'Semana 1'!$J34+0.042,IF(G34="AGENTE RM",'Semana 1'!$J34+0.042,IF(G34="AGENTE APERTURA",'Semana 1'!$J34+0.021,IF(G34="AGENTE CIERRE",'Semana 1'!$J34+0.021," - ")))))</f>
        <v> - </v>
      </c>
      <c r="L34" s="21"/>
      <c r="M34" s="21" t="str">
        <f>IF(G34="AGENTE",'Semana 1'!$L34+0.014,IF(G34="REDES",'Semana 1'!$L34+0.014,IF(G34="AGENTE RM",'Semana 1'!$L34+0.014,IF(G34="AGENTE APERTURA",'Semana 1'!$L34+0.014,IF(G34="AGENTE CIERRE",'Semana 1'!$L34+0.014," - ")))))</f>
        <v> - </v>
      </c>
      <c r="N34" s="21"/>
      <c r="O34" s="21" t="str">
        <f>IF(G34="AGENTE",'Semana 1'!$N34+0.007,IF(G34="REDES",'Semana 1'!$N34+0.007,IF(G34="AGENTE RM",'Semana 1'!$N34+0.007,IF(G34="AGENTE APERTURA",'Semana 1'!$N34+0.007,IF(G34="AGENTE CIERRE",'Semana 1'!$N34+0.007," - ")))))</f>
        <v> - </v>
      </c>
      <c r="P34" s="22" t="str">
        <f t="shared" si="2"/>
        <v>-1.0</v>
      </c>
      <c r="Q34" s="21"/>
      <c r="R34" s="21" t="str">
        <f t="shared" ref="R34:R38" si="50">IF(Q34=0,"",Q34+0.209)</f>
        <v/>
      </c>
      <c r="S34" s="21"/>
      <c r="T34" s="21" t="str">
        <f t="shared" si="45"/>
        <v/>
      </c>
      <c r="U34" s="21"/>
      <c r="V34" s="21" t="str">
        <f t="shared" si="46"/>
        <v/>
      </c>
      <c r="W34" s="21"/>
      <c r="X34" s="21" t="str">
        <f t="shared" si="47"/>
        <v/>
      </c>
      <c r="Y34" s="22" t="str">
        <f t="shared" si="35"/>
        <v>0.0</v>
      </c>
      <c r="Z34" s="22" t="str">
        <f t="shared" ref="Z34:AC34" si="48">$P34</f>
        <v>-1.0</v>
      </c>
      <c r="AA34" s="22" t="str">
        <f t="shared" si="48"/>
        <v>-1.0</v>
      </c>
      <c r="AB34" s="22" t="str">
        <f t="shared" si="48"/>
        <v>-1.0</v>
      </c>
      <c r="AC34" s="22" t="str">
        <f t="shared" si="48"/>
        <v>-1.0</v>
      </c>
      <c r="AD34" s="23" t="str">
        <f t="shared" si="4"/>
        <v>-5</v>
      </c>
    </row>
    <row r="35" ht="15.75" customHeight="1">
      <c r="B35" s="18">
        <v>30.0</v>
      </c>
      <c r="C35" s="18" t="s">
        <v>38</v>
      </c>
      <c r="D35" s="19"/>
      <c r="E35" s="20" t="str">
        <f>Personal!G35</f>
        <v>Yoselin Delfina Lucas Juárez</v>
      </c>
      <c r="F35" s="20" t="s">
        <v>13</v>
      </c>
      <c r="G35" s="20" t="str">
        <f>Personal!H35</f>
        <v>REDES</v>
      </c>
      <c r="H35" s="24">
        <v>0.375</v>
      </c>
      <c r="I35" s="24" t="str">
        <f t="shared" si="49"/>
        <v>18:00</v>
      </c>
      <c r="J35" s="24">
        <v>0.5</v>
      </c>
      <c r="K35" s="24" t="str">
        <f>IF(G35="AGENTE",'Semana 1'!$J35+0.042,IF(G35="REDES",'Semana 1'!$J35+0.042,IF(G35="AGENTE RM",'Semana 1'!$J35+0.042,IF(G35="AGENTE APERTURA",'Semana 1'!$J35+0.021,IF(G35="AGENTE CIERRE",'Semana 1'!$J35+0.021," - ")))))</f>
        <v>13:00</v>
      </c>
      <c r="L35" s="24">
        <v>0.4444444444444444</v>
      </c>
      <c r="M35" s="24" t="str">
        <f>IF(G35="AGENTE",'Semana 1'!$L35+0.014,IF(G35="REDES",'Semana 1'!$L35+0.014,IF(G35="AGENTE RM",'Semana 1'!$L35+0.014,IF(G35="AGENTE APERTURA",'Semana 1'!$L35+0.014,IF(G35="AGENTE CIERRE",'Semana 1'!$L35+0.014," - ")))))</f>
        <v>11:00</v>
      </c>
      <c r="N35" s="24">
        <v>0.6666666666666666</v>
      </c>
      <c r="O35" s="24" t="str">
        <f>IF(G35="AGENTE",'Semana 1'!$N35+0.007,IF(G35="REDES",'Semana 1'!$N35+0.007,IF(G35="AGENTE RM",'Semana 1'!$N35+0.007,IF(G35="AGENTE APERTURA",'Semana 1'!$N35+0.007,IF(G35="AGENTE CIERRE",'Semana 1'!$N35+0.007," - ")))))</f>
        <v>16:10</v>
      </c>
      <c r="P35" s="25" t="str">
        <f t="shared" si="2"/>
        <v>8.0</v>
      </c>
      <c r="Q35" s="24">
        <v>0.4166666666666667</v>
      </c>
      <c r="R35" s="24" t="str">
        <f t="shared" si="50"/>
        <v>15:00</v>
      </c>
      <c r="S35" s="26"/>
      <c r="T35" s="26" t="str">
        <f t="shared" si="45"/>
        <v/>
      </c>
      <c r="U35" s="24">
        <v>0.5</v>
      </c>
      <c r="V35" s="24" t="str">
        <f t="shared" si="46"/>
        <v>12:14</v>
      </c>
      <c r="W35" s="26"/>
      <c r="X35" s="26" t="str">
        <f t="shared" si="47"/>
        <v/>
      </c>
      <c r="Y35" s="25" t="str">
        <f t="shared" si="35"/>
        <v>5.0</v>
      </c>
      <c r="Z35" s="25" t="str">
        <f t="shared" ref="Z35:AC35" si="51">$P35</f>
        <v>8.0</v>
      </c>
      <c r="AA35" s="25" t="str">
        <f t="shared" si="51"/>
        <v>8.0</v>
      </c>
      <c r="AB35" s="25" t="str">
        <f t="shared" si="51"/>
        <v>8.0</v>
      </c>
      <c r="AC35" s="25" t="str">
        <f t="shared" si="51"/>
        <v>8.0</v>
      </c>
      <c r="AD35" s="27" t="str">
        <f t="shared" si="4"/>
        <v>45</v>
      </c>
    </row>
    <row r="36" ht="15.75" customHeight="1">
      <c r="B36" s="18">
        <v>31.0</v>
      </c>
      <c r="C36" s="18" t="s">
        <v>38</v>
      </c>
      <c r="D36" s="19"/>
      <c r="E36" s="20" t="str">
        <f>Personal!G36</f>
        <v>Marleny Elizabeth Orozco Carrera</v>
      </c>
      <c r="F36" s="20" t="s">
        <v>13</v>
      </c>
      <c r="G36" s="20" t="str">
        <f>Personal!H36</f>
        <v>AGENTE</v>
      </c>
      <c r="H36" s="21">
        <v>0.3333333333333333</v>
      </c>
      <c r="I36" s="21" t="str">
        <f t="shared" si="49"/>
        <v>17:00</v>
      </c>
      <c r="J36" s="21">
        <v>0.5625</v>
      </c>
      <c r="K36" s="21" t="str">
        <f>IF(G36="AGENTE",'Semana 1'!$J36+0.042,IF(G36="REDES",'Semana 1'!$J36+0.042,IF(G36="AGENTE RM",'Semana 1'!$J36+0.042,IF(G36="AGENTE APERTURA",'Semana 1'!$J36+0.021,IF(G36="AGENTE CIERRE",'Semana 1'!$J36+0.021," - ")))))</f>
        <v>14:30</v>
      </c>
      <c r="L36" s="21">
        <v>0.34375</v>
      </c>
      <c r="M36" s="21" t="str">
        <f>IF(G36="AGENTE",'Semana 1'!$L36+0.014,IF(G36="REDES",'Semana 1'!$L36+0.014,IF(G36="AGENTE RM",'Semana 1'!$L36+0.014,IF(G36="AGENTE APERTURA",'Semana 1'!$L36+0.014,IF(G36="AGENTE CIERRE",'Semana 1'!$L36+0.014," - ")))))</f>
        <v>8:35</v>
      </c>
      <c r="N36" s="21">
        <v>0.6770833333333334</v>
      </c>
      <c r="O36" s="21" t="str">
        <f>IF(G36="AGENTE",'Semana 1'!$N36+0.007,IF(G36="REDES",'Semana 1'!$N36+0.007,IF(G36="AGENTE RM",'Semana 1'!$N36+0.007,IF(G36="AGENTE APERTURA",'Semana 1'!$N36+0.007,IF(G36="AGENTE CIERRE",'Semana 1'!$N36+0.007," - ")))))</f>
        <v>16:25</v>
      </c>
      <c r="P36" s="22" t="str">
        <f t="shared" si="2"/>
        <v>8.0</v>
      </c>
      <c r="Q36" s="21">
        <v>0.3541666666666667</v>
      </c>
      <c r="R36" s="21" t="str">
        <f t="shared" si="50"/>
        <v>13:30</v>
      </c>
      <c r="S36" s="28"/>
      <c r="T36" s="28"/>
      <c r="U36" s="21">
        <v>0.375</v>
      </c>
      <c r="V36" s="21" t="str">
        <f t="shared" ref="V36:V45" si="53">IF(U36=0,"",U36+0.021)</f>
        <v>9:30</v>
      </c>
      <c r="W36" s="28"/>
      <c r="X36" s="28"/>
      <c r="Y36" s="22" t="str">
        <f t="shared" si="35"/>
        <v>5.0</v>
      </c>
      <c r="Z36" s="22" t="str">
        <f t="shared" ref="Z36:AC36" si="52">$P36</f>
        <v>8.0</v>
      </c>
      <c r="AA36" s="22" t="str">
        <f t="shared" si="52"/>
        <v>8.0</v>
      </c>
      <c r="AB36" s="22" t="str">
        <f t="shared" si="52"/>
        <v>8.0</v>
      </c>
      <c r="AC36" s="22" t="str">
        <f t="shared" si="52"/>
        <v>8.0</v>
      </c>
      <c r="AD36" s="23" t="str">
        <f t="shared" si="4"/>
        <v>45</v>
      </c>
    </row>
    <row r="37" ht="15.75" customHeight="1">
      <c r="B37" s="18">
        <v>32.0</v>
      </c>
      <c r="C37" s="18" t="s">
        <v>38</v>
      </c>
      <c r="D37" s="19"/>
      <c r="E37" s="20" t="str">
        <f>Personal!G37</f>
        <v>Cristian Eduardo Xiloj Zamor</v>
      </c>
      <c r="F37" s="20" t="s">
        <v>13</v>
      </c>
      <c r="G37" s="20" t="str">
        <f>Personal!H37</f>
        <v>AGENTE RM</v>
      </c>
      <c r="H37" s="24">
        <v>0.2916666666666667</v>
      </c>
      <c r="I37" s="24" t="str">
        <f t="shared" si="49"/>
        <v>16:00</v>
      </c>
      <c r="J37" s="24">
        <v>0.5</v>
      </c>
      <c r="K37" s="24" t="str">
        <f>IF(G37="AGENTE",'Semana 1'!$J37+0.042,IF(G37="REDES",'Semana 1'!$J37+0.042,IF(G37="AGENTE RM",'Semana 1'!$J37+0.042,IF(G37="AGENTE APERTURA",'Semana 1'!$J37+0.021,IF(G37="AGENTE CIERRE",'Semana 1'!$J37+0.021," - ")))))</f>
        <v>13:00</v>
      </c>
      <c r="L37" s="24">
        <v>0.3333333333333333</v>
      </c>
      <c r="M37" s="24" t="str">
        <f>IF(G37="AGENTE",'Semana 1'!$L37+0.014,IF(G37="REDES",'Semana 1'!$L37+0.014,IF(G37="AGENTE RM",'Semana 1'!$L37+0.014,IF(G37="AGENTE APERTURA",'Semana 1'!$L37+0.014,IF(G37="AGENTE CIERRE",'Semana 1'!$L37+0.014," - ")))))</f>
        <v>8:20</v>
      </c>
      <c r="N37" s="24">
        <v>0.59375</v>
      </c>
      <c r="O37" s="24" t="str">
        <f>IF(G37="AGENTE",'Semana 1'!$N37+0.007,IF(G37="REDES",'Semana 1'!$N37+0.007,IF(G37="AGENTE RM",'Semana 1'!$N37+0.007,IF(G37="AGENTE APERTURA",'Semana 1'!$N37+0.007,IF(G37="AGENTE CIERRE",'Semana 1'!$N37+0.007," - ")))))</f>
        <v>14:25</v>
      </c>
      <c r="P37" s="25" t="str">
        <f t="shared" si="2"/>
        <v>8.0</v>
      </c>
      <c r="Q37" s="24">
        <v>0.2916666666666667</v>
      </c>
      <c r="R37" s="24" t="str">
        <f t="shared" si="50"/>
        <v>12:00</v>
      </c>
      <c r="S37" s="26"/>
      <c r="T37" s="26"/>
      <c r="U37" s="24">
        <v>0.3541666666666667</v>
      </c>
      <c r="V37" s="24" t="str">
        <f t="shared" si="53"/>
        <v>9:00</v>
      </c>
      <c r="W37" s="26"/>
      <c r="X37" s="26"/>
      <c r="Y37" s="25" t="str">
        <f t="shared" si="35"/>
        <v>5.0</v>
      </c>
      <c r="Z37" s="25" t="str">
        <f t="shared" ref="Z37:AC37" si="54">$P37</f>
        <v>8.0</v>
      </c>
      <c r="AA37" s="25" t="str">
        <f t="shared" si="54"/>
        <v>8.0</v>
      </c>
      <c r="AB37" s="25" t="str">
        <f t="shared" si="54"/>
        <v>8.0</v>
      </c>
      <c r="AC37" s="25" t="str">
        <f t="shared" si="54"/>
        <v>8.0</v>
      </c>
      <c r="AD37" s="27" t="str">
        <f t="shared" si="4"/>
        <v>45</v>
      </c>
    </row>
    <row r="38" ht="15.75" customHeight="1">
      <c r="B38" s="18">
        <v>33.0</v>
      </c>
      <c r="C38" s="18" t="s">
        <v>39</v>
      </c>
      <c r="D38" s="19"/>
      <c r="E38" s="20" t="str">
        <f>Personal!G38</f>
        <v>-</v>
      </c>
      <c r="F38" s="20" t="s">
        <v>13</v>
      </c>
      <c r="G38" s="20" t="str">
        <f>Personal!H38</f>
        <v>-</v>
      </c>
      <c r="H38" s="21"/>
      <c r="I38" s="21" t="str">
        <f t="shared" si="49"/>
        <v> </v>
      </c>
      <c r="J38" s="21"/>
      <c r="K38" s="21" t="str">
        <f>IF(G38="AGENTE",'Semana 1'!$J38+0.042,IF(G38="REDES",'Semana 1'!$J38+0.042,IF(G38="AGENTE RM",'Semana 1'!$J38+0.042,IF(G38="AGENTE APERTURA",'Semana 1'!$J38+0.021,IF(G38="AGENTE CIERRE",'Semana 1'!$J38+0.021," - ")))))</f>
        <v> - </v>
      </c>
      <c r="L38" s="21"/>
      <c r="M38" s="21" t="str">
        <f>IF(G38="AGENTE",'Semana 1'!$L38+0.014,IF(G38="REDES",'Semana 1'!$L38+0.014,IF(G38="AGENTE RM",'Semana 1'!$L38+0.014,IF(G38="AGENTE APERTURA",'Semana 1'!$L38+0.014,IF(G38="AGENTE CIERRE",'Semana 1'!$L38+0.014," - ")))))</f>
        <v> - </v>
      </c>
      <c r="N38" s="21"/>
      <c r="O38" s="21" t="str">
        <f>IF(G38="AGENTE",'Semana 1'!$N38+0.007,IF(G38="REDES",'Semana 1'!$N38+0.007,IF(G38="AGENTE RM",'Semana 1'!$N38+0.007,IF(G38="AGENTE APERTURA",'Semana 1'!$N38+0.007,IF(G38="AGENTE CIERRE",'Semana 1'!$N38+0.007," - ")))))</f>
        <v> - </v>
      </c>
      <c r="P38" s="22" t="str">
        <f t="shared" si="2"/>
        <v>-1.0</v>
      </c>
      <c r="Q38" s="21"/>
      <c r="R38" s="21" t="str">
        <f t="shared" si="50"/>
        <v/>
      </c>
      <c r="S38" s="21"/>
      <c r="T38" s="21"/>
      <c r="U38" s="21"/>
      <c r="V38" s="21" t="str">
        <f t="shared" si="53"/>
        <v/>
      </c>
      <c r="W38" s="21"/>
      <c r="X38" s="21"/>
      <c r="Y38" s="22" t="str">
        <f t="shared" si="35"/>
        <v>0.0</v>
      </c>
      <c r="Z38" s="22" t="str">
        <f t="shared" ref="Z38:AC38" si="55">$P38</f>
        <v>-1.0</v>
      </c>
      <c r="AA38" s="22" t="str">
        <f t="shared" si="55"/>
        <v>-1.0</v>
      </c>
      <c r="AB38" s="22" t="str">
        <f t="shared" si="55"/>
        <v>-1.0</v>
      </c>
      <c r="AC38" s="22" t="str">
        <f t="shared" si="55"/>
        <v>-1.0</v>
      </c>
      <c r="AD38" s="23" t="str">
        <f t="shared" si="4"/>
        <v>-5</v>
      </c>
    </row>
    <row r="39" ht="15.75" customHeight="1">
      <c r="B39" s="18">
        <v>34.0</v>
      </c>
      <c r="C39" s="18" t="s">
        <v>38</v>
      </c>
      <c r="D39" s="19"/>
      <c r="E39" s="20" t="str">
        <f>Personal!G39</f>
        <v>Diego Leonardo Patzan Patzan</v>
      </c>
      <c r="F39" s="20" t="s">
        <v>13</v>
      </c>
      <c r="G39" s="20" t="str">
        <f>Personal!H39</f>
        <v>AGENTE</v>
      </c>
      <c r="H39" s="24">
        <v>0.3333333333333333</v>
      </c>
      <c r="I39" s="24">
        <v>0.6875</v>
      </c>
      <c r="J39" s="24">
        <v>0.5</v>
      </c>
      <c r="K39" s="24" t="str">
        <f>IF(G39="AGENTE",'Semana 1'!$J39+0.042,IF(G39="REDES",'Semana 1'!$J39+0.042,IF(G39="AGENTE RM",'Semana 1'!$J39+0.042,IF(G39="AGENTE APERTURA",'Semana 1'!$J39+0.021,IF(G39="AGENTE CIERRE",'Semana 1'!$J39+0.021," - ")))))</f>
        <v>13:00</v>
      </c>
      <c r="L39" s="24">
        <v>0.3541666666666667</v>
      </c>
      <c r="M39" s="24" t="str">
        <f>IF(G39="AGENTE",'Semana 1'!$L39+0.014,IF(G39="REDES",'Semana 1'!$L39+0.014,IF(G39="AGENTE RM",'Semana 1'!$L39+0.014,IF(G39="AGENTE APERTURA",'Semana 1'!$L39+0.014,IF(G39="AGENTE CIERRE",'Semana 1'!$L39+0.014," - ")))))</f>
        <v>8:50</v>
      </c>
      <c r="N39" s="24">
        <v>0.14583333333333334</v>
      </c>
      <c r="O39" s="24" t="str">
        <f>IF(G39="AGENTE",'Semana 1'!$N39+0.007,IF(G39="REDES",'Semana 1'!$N39+0.007,IF(G39="AGENTE RM",'Semana 1'!$N39+0.007,IF(G39="AGENTE APERTURA",'Semana 1'!$N39+0.007,IF(G39="AGENTE CIERRE",'Semana 1'!$N39+0.007," - ")))))</f>
        <v>3:40</v>
      </c>
      <c r="P39" s="25" t="str">
        <f t="shared" si="2"/>
        <v>7.5</v>
      </c>
      <c r="Q39" s="24">
        <v>0.3541666666666667</v>
      </c>
      <c r="R39" s="24">
        <v>0.6666666666666666</v>
      </c>
      <c r="S39" s="26"/>
      <c r="T39" s="26"/>
      <c r="U39" s="24">
        <v>0.5416666666666666</v>
      </c>
      <c r="V39" s="24" t="str">
        <f t="shared" si="53"/>
        <v>13:30</v>
      </c>
      <c r="W39" s="26"/>
      <c r="X39" s="26"/>
      <c r="Y39" s="25" t="str">
        <f t="shared" si="35"/>
        <v>7.5</v>
      </c>
      <c r="Z39" s="25" t="str">
        <f t="shared" ref="Z39:AC39" si="56">$P39</f>
        <v>7.5</v>
      </c>
      <c r="AA39" s="25" t="str">
        <f t="shared" si="56"/>
        <v>7.5</v>
      </c>
      <c r="AB39" s="25" t="str">
        <f t="shared" si="56"/>
        <v>7.5</v>
      </c>
      <c r="AC39" s="25" t="str">
        <f t="shared" si="56"/>
        <v>7.5</v>
      </c>
      <c r="AD39" s="27" t="str">
        <f t="shared" si="4"/>
        <v>45</v>
      </c>
    </row>
    <row r="40" ht="15.75" customHeight="1">
      <c r="B40" s="18">
        <v>35.0</v>
      </c>
      <c r="C40" s="18" t="s">
        <v>38</v>
      </c>
      <c r="D40" s="19"/>
      <c r="E40" s="20" t="str">
        <f>Personal!G40</f>
        <v>Erick Gabriel Velasquez Marroquin</v>
      </c>
      <c r="F40" s="20" t="s">
        <v>13</v>
      </c>
      <c r="G40" s="20" t="str">
        <f>Personal!H40</f>
        <v>AGENTE</v>
      </c>
      <c r="H40" s="21">
        <v>0.375</v>
      </c>
      <c r="I40" s="21" t="str">
        <f t="shared" ref="I40:I52" si="58">IF(H40=0," ",IF(Q40=0,(H40+0.417),(H40+0.3756)))</f>
        <v>18:00</v>
      </c>
      <c r="J40" s="21">
        <v>0.5416666666666666</v>
      </c>
      <c r="K40" s="21" t="str">
        <f>IF(G40="AGENTE",'Semana 1'!$J40+0.042,IF(G40="REDES",'Semana 1'!$J40+0.042,IF(G40="AGENTE RM",'Semana 1'!$J40+0.042,IF(G40="AGENTE APERTURA",'Semana 1'!$J40+0.021,IF(G40="AGENTE CIERRE",'Semana 1'!$J40+0.021," - ")))))</f>
        <v>14:00</v>
      </c>
      <c r="L40" s="21">
        <v>0.2916666666666667</v>
      </c>
      <c r="M40" s="21" t="str">
        <f>IF(G40="AGENTE",'Semana 1'!$L40+0.014,IF(G40="REDES",'Semana 1'!$L40+0.014,IF(G40="AGENTE RM",'Semana 1'!$L40+0.014,IF(G40="AGENTE APERTURA",'Semana 1'!$L40+0.014,IF(G40="AGENTE CIERRE",'Semana 1'!$L40+0.014," - ")))))</f>
        <v>7:20</v>
      </c>
      <c r="N40" s="21">
        <v>0.6770833333333334</v>
      </c>
      <c r="O40" s="21" t="str">
        <f>IF(G40="AGENTE",'Semana 1'!$N40+0.007,IF(G40="REDES",'Semana 1'!$N40+0.007,IF(G40="AGENTE RM",'Semana 1'!$N40+0.007,IF(G40="AGENTE APERTURA",'Semana 1'!$N40+0.007,IF(G40="AGENTE CIERRE",'Semana 1'!$N40+0.007," - ")))))</f>
        <v>16:25</v>
      </c>
      <c r="P40" s="22" t="str">
        <f t="shared" si="2"/>
        <v>8.0</v>
      </c>
      <c r="Q40" s="21">
        <v>0.375</v>
      </c>
      <c r="R40" s="21" t="str">
        <f t="shared" ref="R40:R52" si="59">IF(Q40=0,"",Q40+0.209)</f>
        <v>14:00</v>
      </c>
      <c r="S40" s="28"/>
      <c r="T40" s="28" t="str">
        <f>IF(S40=0,"",S40+0.041)</f>
        <v/>
      </c>
      <c r="U40" s="21">
        <v>0.5625</v>
      </c>
      <c r="V40" s="21" t="str">
        <f t="shared" si="53"/>
        <v>14:00</v>
      </c>
      <c r="W40" s="28"/>
      <c r="X40" s="28" t="str">
        <f>IF(W40=0,"",W40+0.01)</f>
        <v/>
      </c>
      <c r="Y40" s="22" t="str">
        <f t="shared" si="35"/>
        <v>5.0</v>
      </c>
      <c r="Z40" s="22" t="str">
        <f t="shared" ref="Z40:AC40" si="57">$P40</f>
        <v>8.0</v>
      </c>
      <c r="AA40" s="22" t="str">
        <f t="shared" si="57"/>
        <v>8.0</v>
      </c>
      <c r="AB40" s="22" t="str">
        <f t="shared" si="57"/>
        <v>8.0</v>
      </c>
      <c r="AC40" s="22" t="str">
        <f t="shared" si="57"/>
        <v>8.0</v>
      </c>
      <c r="AD40" s="23" t="str">
        <f t="shared" si="4"/>
        <v>45</v>
      </c>
    </row>
    <row r="41" ht="15.75" customHeight="1">
      <c r="B41" s="18">
        <v>36.0</v>
      </c>
      <c r="C41" s="18" t="s">
        <v>38</v>
      </c>
      <c r="D41" s="19"/>
      <c r="E41" s="20" t="str">
        <f>Personal!G41</f>
        <v>Catherine Patricia Castillo Monzon </v>
      </c>
      <c r="F41" s="20" t="s">
        <v>13</v>
      </c>
      <c r="G41" s="20" t="str">
        <f>Personal!H41</f>
        <v>AGENTE</v>
      </c>
      <c r="H41" s="24">
        <v>0.3333333333333333</v>
      </c>
      <c r="I41" s="24" t="str">
        <f t="shared" si="58"/>
        <v>17:00</v>
      </c>
      <c r="J41" s="24">
        <v>0.5416666666666666</v>
      </c>
      <c r="K41" s="24" t="str">
        <f>IF(G41="AGENTE",'Semana 1'!$J41+0.042,IF(G41="REDES",'Semana 1'!$J41+0.042,IF(G41="AGENTE RM",'Semana 1'!$J41+0.042,IF(G41="AGENTE APERTURA",'Semana 1'!$J41+0.021,IF(G41="AGENTE CIERRE",'Semana 1'!$J41+0.021," - ")))))</f>
        <v>14:00</v>
      </c>
      <c r="L41" s="24">
        <v>0.3958333333333333</v>
      </c>
      <c r="M41" s="24" t="str">
        <f>IF(G41="AGENTE",'Semana 1'!$L41+0.014,IF(G41="REDES",'Semana 1'!$L41+0.014,IF(G41="AGENTE RM",'Semana 1'!$L41+0.014,IF(G41="AGENTE APERTURA",'Semana 1'!$L41+0.014,IF(G41="AGENTE CIERRE",'Semana 1'!$L41+0.014," - ")))))</f>
        <v>9:50</v>
      </c>
      <c r="N41" s="24">
        <v>0.6979166666666666</v>
      </c>
      <c r="O41" s="24" t="str">
        <f>IF(G41="AGENTE",'Semana 1'!$N41+0.007,IF(G41="REDES",'Semana 1'!$N41+0.007,IF(G41="AGENTE RM",'Semana 1'!$N41+0.007,IF(G41="AGENTE APERTURA",'Semana 1'!$N41+0.007,IF(G41="AGENTE CIERRE",'Semana 1'!$N41+0.007," - ")))))</f>
        <v>16:55</v>
      </c>
      <c r="P41" s="25" t="str">
        <f t="shared" si="2"/>
        <v>8.0</v>
      </c>
      <c r="Q41" s="24">
        <v>0.3333333333333333</v>
      </c>
      <c r="R41" s="24" t="str">
        <f t="shared" si="59"/>
        <v>13:00</v>
      </c>
      <c r="S41" s="26"/>
      <c r="T41" s="26"/>
      <c r="U41" s="24">
        <v>0.4375</v>
      </c>
      <c r="V41" s="24" t="str">
        <f t="shared" si="53"/>
        <v>11:00</v>
      </c>
      <c r="W41" s="26"/>
      <c r="X41" s="26"/>
      <c r="Y41" s="25" t="str">
        <f t="shared" si="35"/>
        <v>5.0</v>
      </c>
      <c r="Z41" s="25" t="str">
        <f t="shared" ref="Z41:AC41" si="60">$P41</f>
        <v>8.0</v>
      </c>
      <c r="AA41" s="25" t="str">
        <f t="shared" si="60"/>
        <v>8.0</v>
      </c>
      <c r="AB41" s="25" t="str">
        <f t="shared" si="60"/>
        <v>8.0</v>
      </c>
      <c r="AC41" s="25" t="str">
        <f t="shared" si="60"/>
        <v>8.0</v>
      </c>
      <c r="AD41" s="27" t="str">
        <f t="shared" si="4"/>
        <v>45</v>
      </c>
    </row>
    <row r="42" ht="15.75" customHeight="1">
      <c r="B42" s="18">
        <v>37.0</v>
      </c>
      <c r="C42" s="18" t="s">
        <v>38</v>
      </c>
      <c r="D42" s="19"/>
      <c r="E42" s="20" t="str">
        <f>Personal!G42</f>
        <v>Yandira Yaneth Balcarcel Perez</v>
      </c>
      <c r="F42" s="20" t="s">
        <v>13</v>
      </c>
      <c r="G42" s="20" t="str">
        <f>Personal!H42</f>
        <v>CONTROL</v>
      </c>
      <c r="H42" s="21"/>
      <c r="I42" s="21" t="str">
        <f t="shared" si="58"/>
        <v> </v>
      </c>
      <c r="J42" s="21"/>
      <c r="K42" s="21" t="str">
        <f>IF(G42="AGENTE",'Semana 1'!$J42+0.042,IF(G42="REDES",'Semana 1'!$J42+0.042,IF(G42="AGENTE RM",'Semana 1'!$J42+0.042,IF(G42="AGENTE APERTURA",'Semana 1'!$J42+0.021,IF(G42="AGENTE CIERRE",'Semana 1'!$J42+0.021," - ")))))</f>
        <v> - </v>
      </c>
      <c r="L42" s="21"/>
      <c r="M42" s="21" t="str">
        <f>IF(G42="AGENTE",'Semana 1'!$L42+0.014,IF(G42="REDES",'Semana 1'!$L42+0.014,IF(G42="AGENTE RM",'Semana 1'!$L42+0.014,IF(G42="AGENTE APERTURA",'Semana 1'!$L42+0.014,IF(G42="AGENTE CIERRE",'Semana 1'!$L42+0.014," - ")))))</f>
        <v> - </v>
      </c>
      <c r="N42" s="21"/>
      <c r="O42" s="21" t="str">
        <f>IF(G42="AGENTE",'Semana 1'!$N42+0.007,IF(G42="REDES",'Semana 1'!$N42+0.007,IF(G42="AGENTE RM",'Semana 1'!$N42+0.007,IF(G42="AGENTE APERTURA",'Semana 1'!$N42+0.007,IF(G42="AGENTE CIERRE",'Semana 1'!$N42+0.007," - ")))))</f>
        <v> - </v>
      </c>
      <c r="P42" s="22" t="str">
        <f t="shared" si="2"/>
        <v>-1.0</v>
      </c>
      <c r="Q42" s="21"/>
      <c r="R42" s="21" t="str">
        <f t="shared" si="59"/>
        <v/>
      </c>
      <c r="S42" s="28"/>
      <c r="T42" s="28"/>
      <c r="U42" s="21"/>
      <c r="V42" s="21" t="str">
        <f t="shared" si="53"/>
        <v/>
      </c>
      <c r="W42" s="28"/>
      <c r="X42" s="28"/>
      <c r="Y42" s="22" t="str">
        <f t="shared" si="35"/>
        <v>0.0</v>
      </c>
      <c r="Z42" s="22" t="str">
        <f t="shared" ref="Z42:AC42" si="61">$P42</f>
        <v>-1.0</v>
      </c>
      <c r="AA42" s="22" t="str">
        <f t="shared" si="61"/>
        <v>-1.0</v>
      </c>
      <c r="AB42" s="22" t="str">
        <f t="shared" si="61"/>
        <v>-1.0</v>
      </c>
      <c r="AC42" s="22" t="str">
        <f t="shared" si="61"/>
        <v>-1.0</v>
      </c>
      <c r="AD42" s="23" t="str">
        <f t="shared" si="4"/>
        <v>-5</v>
      </c>
    </row>
    <row r="43" ht="15.75" customHeight="1">
      <c r="B43" s="18">
        <v>38.0</v>
      </c>
      <c r="C43" s="18" t="s">
        <v>38</v>
      </c>
      <c r="D43" s="19"/>
      <c r="E43" s="20" t="str">
        <f>Personal!G43</f>
        <v>Laura Lucia Rabanales Oliva</v>
      </c>
      <c r="F43" s="20" t="s">
        <v>13</v>
      </c>
      <c r="G43" s="20" t="str">
        <f>Personal!H43</f>
        <v>AGENTE RM</v>
      </c>
      <c r="H43" s="24">
        <v>0.2708333333333333</v>
      </c>
      <c r="I43" s="24" t="str">
        <f t="shared" si="58"/>
        <v>15:30</v>
      </c>
      <c r="J43" s="24">
        <v>0.5</v>
      </c>
      <c r="K43" s="24" t="str">
        <f>IF(G43="AGENTE",'Semana 1'!$J43+0.042,IF(G43="REDES",'Semana 1'!$J43+0.042,IF(G43="AGENTE RM",'Semana 1'!$J43+0.042,IF(G43="AGENTE APERTURA",'Semana 1'!$J43+0.021,IF(G43="AGENTE CIERRE",'Semana 1'!$J43+0.021," - ")))))</f>
        <v>13:00</v>
      </c>
      <c r="L43" s="24">
        <v>0.3611111111111111</v>
      </c>
      <c r="M43" s="24" t="str">
        <f>IF(G43="AGENTE",'Semana 1'!$L43+0.014,IF(G43="REDES",'Semana 1'!$L43+0.014,IF(G43="AGENTE RM",'Semana 1'!$L43+0.014,IF(G43="AGENTE APERTURA",'Semana 1'!$L43+0.014,IF(G43="AGENTE CIERRE",'Semana 1'!$L43+0.014," - ")))))</f>
        <v>9:00</v>
      </c>
      <c r="N43" s="24">
        <v>0.5833333333333334</v>
      </c>
      <c r="O43" s="24" t="str">
        <f>IF(G43="AGENTE",'Semana 1'!$N43+0.007,IF(G43="REDES",'Semana 1'!$N43+0.007,IF(G43="AGENTE RM",'Semana 1'!$N43+0.007,IF(G43="AGENTE APERTURA",'Semana 1'!$N43+0.007,IF(G43="AGENTE CIERRE",'Semana 1'!$N43+0.007," - ")))))</f>
        <v>14:10</v>
      </c>
      <c r="P43" s="25" t="str">
        <f t="shared" si="2"/>
        <v>8.0</v>
      </c>
      <c r="Q43" s="24">
        <v>0.2708333333333333</v>
      </c>
      <c r="R43" s="24" t="str">
        <f t="shared" si="59"/>
        <v>11:30</v>
      </c>
      <c r="S43" s="26"/>
      <c r="T43" s="26"/>
      <c r="U43" s="24">
        <v>0.3333333333333333</v>
      </c>
      <c r="V43" s="24" t="str">
        <f t="shared" si="53"/>
        <v>8:30</v>
      </c>
      <c r="W43" s="26"/>
      <c r="X43" s="26"/>
      <c r="Y43" s="25" t="str">
        <f t="shared" si="35"/>
        <v>5.0</v>
      </c>
      <c r="Z43" s="25" t="str">
        <f t="shared" ref="Z43:AC43" si="62">$P43</f>
        <v>8.0</v>
      </c>
      <c r="AA43" s="25" t="str">
        <f t="shared" si="62"/>
        <v>8.0</v>
      </c>
      <c r="AB43" s="25" t="str">
        <f t="shared" si="62"/>
        <v>8.0</v>
      </c>
      <c r="AC43" s="25" t="str">
        <f t="shared" si="62"/>
        <v>8.0</v>
      </c>
      <c r="AD43" s="27" t="str">
        <f t="shared" si="4"/>
        <v>45</v>
      </c>
    </row>
    <row r="44" ht="15.75" customHeight="1">
      <c r="B44" s="18">
        <v>41.0</v>
      </c>
      <c r="C44" s="18" t="s">
        <v>38</v>
      </c>
      <c r="D44" s="19"/>
      <c r="E44" s="20" t="str">
        <f>Personal!G44</f>
        <v>Lilian Josefina Ramirez Estrada</v>
      </c>
      <c r="F44" s="20" t="s">
        <v>13</v>
      </c>
      <c r="G44" s="20" t="str">
        <f>Personal!H44</f>
        <v>SUPERVISORA</v>
      </c>
      <c r="H44" s="21"/>
      <c r="I44" s="21" t="str">
        <f t="shared" si="58"/>
        <v> </v>
      </c>
      <c r="J44" s="21"/>
      <c r="K44" s="21" t="str">
        <f>IF(G44="AGENTE",'Semana 1'!$J44+0.042,IF(G44="REDES",'Semana 1'!$J44+0.042,IF(G44="AGENTE RM",'Semana 1'!$J44+0.042,IF(G44="AGENTE APERTURA",'Semana 1'!$J44+0.021,IF(G44="AGENTE CIERRE",'Semana 1'!$J44+0.021," - ")))))</f>
        <v> - </v>
      </c>
      <c r="L44" s="21"/>
      <c r="M44" s="21" t="str">
        <f>IF(G44="AGENTE",'Semana 1'!$L44+0.014,IF(G44="REDES",'Semana 1'!$L44+0.014,IF(G44="AGENTE RM",'Semana 1'!$L44+0.014,IF(G44="AGENTE APERTURA",'Semana 1'!$L44+0.014,IF(G44="AGENTE CIERRE",'Semana 1'!$L44+0.014," - ")))))</f>
        <v> - </v>
      </c>
      <c r="N44" s="21"/>
      <c r="O44" s="21" t="str">
        <f>IF(G44="AGENTE",'Semana 1'!$N44+0.007,IF(G44="REDES",'Semana 1'!$N44+0.007,IF(G44="AGENTE RM",'Semana 1'!$N44+0.007,IF(G44="AGENTE APERTURA",'Semana 1'!$N44+0.007,IF(G44="AGENTE CIERRE",'Semana 1'!$N44+0.007," - ")))))</f>
        <v> - </v>
      </c>
      <c r="P44" s="22" t="str">
        <f t="shared" si="2"/>
        <v>-1.0</v>
      </c>
      <c r="Q44" s="21"/>
      <c r="R44" s="21" t="str">
        <f t="shared" si="59"/>
        <v/>
      </c>
      <c r="S44" s="21"/>
      <c r="T44" s="21"/>
      <c r="U44" s="21"/>
      <c r="V44" s="21" t="str">
        <f t="shared" si="53"/>
        <v/>
      </c>
      <c r="W44" s="21"/>
      <c r="X44" s="21"/>
      <c r="Y44" s="22" t="str">
        <f t="shared" si="35"/>
        <v>0.0</v>
      </c>
      <c r="Z44" s="22" t="str">
        <f t="shared" ref="Z44:AC44" si="63">$P44</f>
        <v>-1.0</v>
      </c>
      <c r="AA44" s="22" t="str">
        <f t="shared" si="63"/>
        <v>-1.0</v>
      </c>
      <c r="AB44" s="22" t="str">
        <f t="shared" si="63"/>
        <v>-1.0</v>
      </c>
      <c r="AC44" s="22" t="str">
        <f t="shared" si="63"/>
        <v>-1.0</v>
      </c>
      <c r="AD44" s="23" t="str">
        <f t="shared" si="4"/>
        <v>-5</v>
      </c>
    </row>
    <row r="45" ht="15.75" customHeight="1">
      <c r="B45" s="18">
        <v>42.0</v>
      </c>
      <c r="C45" s="18" t="s">
        <v>38</v>
      </c>
      <c r="D45" s="19"/>
      <c r="E45" s="20" t="str">
        <f>Personal!G45</f>
        <v>Wilson Saúl Gómez Mendoza</v>
      </c>
      <c r="F45" s="20" t="s">
        <v>13</v>
      </c>
      <c r="G45" s="20" t="str">
        <f>Personal!H45</f>
        <v>CONTROL</v>
      </c>
      <c r="H45" s="24"/>
      <c r="I45" s="24" t="str">
        <f t="shared" si="58"/>
        <v> </v>
      </c>
      <c r="J45" s="24"/>
      <c r="K45" s="24" t="str">
        <f>IF(G45="AGENTE",'Semana 1'!$J45+0.042,IF(G45="REDES",'Semana 1'!$J45+0.042,IF(G45="AGENTE RM",'Semana 1'!$J45+0.042,IF(G45="AGENTE APERTURA",'Semana 1'!$J45+0.021,IF(G45="AGENTE CIERRE",'Semana 1'!$J45+0.021," - ")))))</f>
        <v> - </v>
      </c>
      <c r="L45" s="24"/>
      <c r="M45" s="24" t="str">
        <f>IF(G45="AGENTE",'Semana 1'!$L45+0.014,IF(G45="REDES",'Semana 1'!$L45+0.014,IF(G45="AGENTE RM",'Semana 1'!$L45+0.014,IF(G45="AGENTE APERTURA",'Semana 1'!$L45+0.014,IF(G45="AGENTE CIERRE",'Semana 1'!$L45+0.014," - ")))))</f>
        <v> - </v>
      </c>
      <c r="N45" s="24"/>
      <c r="O45" s="24" t="str">
        <f>IF(G45="AGENTE",'Semana 1'!$N45+0.007,IF(G45="REDES",'Semana 1'!$N45+0.007,IF(G45="AGENTE RM",'Semana 1'!$N45+0.007,IF(G45="AGENTE APERTURA",'Semana 1'!$N45+0.007,IF(G45="AGENTE CIERRE",'Semana 1'!$N45+0.007," - ")))))</f>
        <v> - </v>
      </c>
      <c r="P45" s="25" t="str">
        <f t="shared" si="2"/>
        <v>-1.0</v>
      </c>
      <c r="Q45" s="24"/>
      <c r="R45" s="24" t="str">
        <f t="shared" si="59"/>
        <v/>
      </c>
      <c r="S45" s="26"/>
      <c r="T45" s="26"/>
      <c r="U45" s="24"/>
      <c r="V45" s="24" t="str">
        <f t="shared" si="53"/>
        <v/>
      </c>
      <c r="W45" s="26"/>
      <c r="X45" s="26"/>
      <c r="Y45" s="25" t="str">
        <f t="shared" si="35"/>
        <v>0.0</v>
      </c>
      <c r="Z45" s="25" t="str">
        <f t="shared" ref="Z45:AC45" si="64">$P45</f>
        <v>-1.0</v>
      </c>
      <c r="AA45" s="25" t="str">
        <f t="shared" si="64"/>
        <v>-1.0</v>
      </c>
      <c r="AB45" s="25" t="str">
        <f t="shared" si="64"/>
        <v>-1.0</v>
      </c>
      <c r="AC45" s="25" t="str">
        <f t="shared" si="64"/>
        <v>-1.0</v>
      </c>
      <c r="AD45" s="27" t="str">
        <f t="shared" si="4"/>
        <v>-5</v>
      </c>
    </row>
    <row r="46" ht="15.75" customHeight="1">
      <c r="B46" s="18">
        <v>43.0</v>
      </c>
      <c r="C46" s="18" t="s">
        <v>38</v>
      </c>
      <c r="D46" s="19"/>
      <c r="E46" s="20" t="str">
        <f>Personal!G46</f>
        <v>Carmen Yanira Brán Oliva</v>
      </c>
      <c r="F46" s="20" t="s">
        <v>13</v>
      </c>
      <c r="G46" s="20" t="str">
        <f>Personal!H46</f>
        <v>CAPACITACION</v>
      </c>
      <c r="H46" s="21"/>
      <c r="I46" s="21" t="str">
        <f t="shared" si="58"/>
        <v> </v>
      </c>
      <c r="J46" s="21"/>
      <c r="K46" s="21" t="str">
        <f>IF(G46="AGENTE",'Semana 1'!$J46+0.042,IF(G46="REDES",'Semana 1'!$J46+0.042,IF(G46="AGENTE RM",'Semana 1'!$J46+0.042,IF(G46="AGENTE APERTURA",'Semana 1'!$J46+0.021,IF(G46="AGENTE CIERRE",'Semana 1'!$J46+0.021," - ")))))</f>
        <v> - </v>
      </c>
      <c r="L46" s="21"/>
      <c r="M46" s="21" t="str">
        <f>IF(G46="AGENTE",'Semana 1'!$L46+0.014,IF(G46="REDES",'Semana 1'!$L46+0.014,IF(G46="AGENTE RM",'Semana 1'!$L46+0.014,IF(G46="AGENTE APERTURA",'Semana 1'!$L46+0.014,IF(G46="AGENTE CIERRE",'Semana 1'!$L46+0.014," - ")))))</f>
        <v> - </v>
      </c>
      <c r="N46" s="21"/>
      <c r="O46" s="21" t="str">
        <f>IF(G46="AGENTE",'Semana 1'!$N46+0.007,IF(G46="REDES",'Semana 1'!$N46+0.007,IF(G46="AGENTE RM",'Semana 1'!$N46+0.007,IF(G46="AGENTE APERTURA",'Semana 1'!$N46+0.007,IF(G46="AGENTE CIERRE",'Semana 1'!$N46+0.007," - ")))))</f>
        <v> - </v>
      </c>
      <c r="P46" s="22" t="str">
        <f t="shared" si="2"/>
        <v>-1.0</v>
      </c>
      <c r="Q46" s="21"/>
      <c r="R46" s="21" t="str">
        <f t="shared" si="59"/>
        <v/>
      </c>
      <c r="S46" s="28"/>
      <c r="T46" s="28"/>
      <c r="U46" s="21"/>
      <c r="V46" s="21"/>
      <c r="W46" s="28"/>
      <c r="X46" s="28"/>
      <c r="Y46" s="22" t="str">
        <f t="shared" si="35"/>
        <v>0.0</v>
      </c>
      <c r="Z46" s="22" t="str">
        <f t="shared" ref="Z46:AC46" si="65">$P46</f>
        <v>-1.0</v>
      </c>
      <c r="AA46" s="22" t="str">
        <f t="shared" si="65"/>
        <v>-1.0</v>
      </c>
      <c r="AB46" s="22" t="str">
        <f t="shared" si="65"/>
        <v>-1.0</v>
      </c>
      <c r="AC46" s="22" t="str">
        <f t="shared" si="65"/>
        <v>-1.0</v>
      </c>
      <c r="AD46" s="23" t="str">
        <f t="shared" si="4"/>
        <v>-5</v>
      </c>
    </row>
    <row r="47" ht="15.75" customHeight="1">
      <c r="B47" s="18">
        <v>44.0</v>
      </c>
      <c r="C47" s="18" t="s">
        <v>38</v>
      </c>
      <c r="D47" s="19"/>
      <c r="E47" s="20" t="str">
        <f>Personal!G47</f>
        <v>Katherine Nicole Colmenares Véliz</v>
      </c>
      <c r="F47" s="20" t="s">
        <v>13</v>
      </c>
      <c r="G47" s="20" t="str">
        <f>Personal!H47</f>
        <v>CONTROL</v>
      </c>
      <c r="H47" s="24"/>
      <c r="I47" s="24" t="str">
        <f t="shared" si="58"/>
        <v> </v>
      </c>
      <c r="J47" s="24"/>
      <c r="K47" s="24" t="str">
        <f>IF(G47="AGENTE",'Semana 1'!$J47+0.042,IF(G47="REDES",'Semana 1'!$J47+0.042,IF(G47="AGENTE RM",'Semana 1'!$J47+0.042,IF(G47="AGENTE APERTURA",'Semana 1'!$J47+0.021,IF(G47="AGENTE CIERRE",'Semana 1'!$J47+0.021," - ")))))</f>
        <v> - </v>
      </c>
      <c r="L47" s="24"/>
      <c r="M47" s="24" t="str">
        <f>IF(G47="AGENTE",'Semana 1'!$L47+0.014,IF(G47="REDES",'Semana 1'!$L47+0.014,IF(G47="AGENTE RM",'Semana 1'!$L47+0.014,IF(G47="AGENTE APERTURA",'Semana 1'!$L47+0.014,IF(G47="AGENTE CIERRE",'Semana 1'!$L47+0.014," - ")))))</f>
        <v> - </v>
      </c>
      <c r="N47" s="24"/>
      <c r="O47" s="24" t="str">
        <f>IF(G47="AGENTE",'Semana 1'!$N47+0.007,IF(G47="REDES",'Semana 1'!$N47+0.007,IF(G47="AGENTE RM",'Semana 1'!$N47+0.007,IF(G47="AGENTE APERTURA",'Semana 1'!$N47+0.007,IF(G47="AGENTE CIERRE",'Semana 1'!$N47+0.007," - ")))))</f>
        <v> - </v>
      </c>
      <c r="P47" s="25" t="str">
        <f t="shared" si="2"/>
        <v>-1.0</v>
      </c>
      <c r="Q47" s="24"/>
      <c r="R47" s="24" t="str">
        <f t="shared" si="59"/>
        <v/>
      </c>
      <c r="S47" s="26"/>
      <c r="T47" s="26"/>
      <c r="U47" s="24"/>
      <c r="V47" s="24"/>
      <c r="W47" s="26"/>
      <c r="X47" s="26"/>
      <c r="Y47" s="25" t="str">
        <f t="shared" si="35"/>
        <v>0.0</v>
      </c>
      <c r="Z47" s="25" t="str">
        <f t="shared" ref="Z47:AC47" si="66">$P47</f>
        <v>-1.0</v>
      </c>
      <c r="AA47" s="25" t="str">
        <f t="shared" si="66"/>
        <v>-1.0</v>
      </c>
      <c r="AB47" s="25" t="str">
        <f t="shared" si="66"/>
        <v>-1.0</v>
      </c>
      <c r="AC47" s="25" t="str">
        <f t="shared" si="66"/>
        <v>-1.0</v>
      </c>
      <c r="AD47" s="27" t="str">
        <f t="shared" si="4"/>
        <v>-5</v>
      </c>
    </row>
    <row r="48" ht="15.75" customHeight="1">
      <c r="B48" s="18">
        <v>45.0</v>
      </c>
      <c r="C48" s="18" t="s">
        <v>38</v>
      </c>
      <c r="D48" s="19"/>
      <c r="E48" s="20" t="str">
        <f>Personal!G48</f>
        <v>Laptop</v>
      </c>
      <c r="F48" s="20" t="s">
        <v>13</v>
      </c>
      <c r="G48" s="20" t="str">
        <f>Personal!H48</f>
        <v>Lap</v>
      </c>
      <c r="H48" s="21"/>
      <c r="I48" s="21" t="str">
        <f t="shared" si="58"/>
        <v> </v>
      </c>
      <c r="J48" s="21"/>
      <c r="K48" s="21" t="str">
        <f>IF(G48="AGENTE",'Semana 1'!$J48+0.042,IF(G48="REDES",'Semana 1'!$J48+0.042,IF(G48="AGENTE RM",'Semana 1'!$J48+0.042,IF(G48="AGENTE APERTURA",'Semana 1'!$J48+0.021,IF(G48="AGENTE CIERRE",'Semana 1'!$J48+0.021," - ")))))</f>
        <v> - </v>
      </c>
      <c r="L48" s="21"/>
      <c r="M48" s="21" t="str">
        <f>IF(G48="AGENTE",'Semana 1'!$L48+0.014,IF(G48="REDES",'Semana 1'!$L48+0.014,IF(G48="AGENTE RM",'Semana 1'!$L48+0.014,IF(G48="AGENTE APERTURA",'Semana 1'!$L48+0.014,IF(G48="AGENTE CIERRE",'Semana 1'!$L48+0.014," - ")))))</f>
        <v> - </v>
      </c>
      <c r="N48" s="21"/>
      <c r="O48" s="21" t="str">
        <f>IF(G48="AGENTE",'Semana 1'!$N48+0.007,IF(G48="REDES",'Semana 1'!$N48+0.007,IF(G48="AGENTE RM",'Semana 1'!$N48+0.007,IF(G48="AGENTE APERTURA",'Semana 1'!$N48+0.007,IF(G48="AGENTE CIERRE",'Semana 1'!$N48+0.007," - ")))))</f>
        <v> - </v>
      </c>
      <c r="P48" s="22" t="str">
        <f t="shared" si="2"/>
        <v>-1.0</v>
      </c>
      <c r="Q48" s="21"/>
      <c r="R48" s="21" t="str">
        <f t="shared" si="59"/>
        <v/>
      </c>
      <c r="S48" s="21"/>
      <c r="T48" s="21"/>
      <c r="U48" s="21"/>
      <c r="V48" s="21" t="str">
        <f t="shared" ref="V48:V52" si="68">IF(U48=0,"",U48+0.021)</f>
        <v/>
      </c>
      <c r="W48" s="21"/>
      <c r="X48" s="21" t="str">
        <f t="shared" ref="X48:X49" si="69">IF(W48=0,"",W48+0.021)</f>
        <v/>
      </c>
      <c r="Y48" s="22" t="str">
        <f t="shared" si="35"/>
        <v>0.0</v>
      </c>
      <c r="Z48" s="22" t="str">
        <f t="shared" ref="Z48:AC48" si="67">$P48</f>
        <v>-1.0</v>
      </c>
      <c r="AA48" s="22" t="str">
        <f t="shared" si="67"/>
        <v>-1.0</v>
      </c>
      <c r="AB48" s="22" t="str">
        <f t="shared" si="67"/>
        <v>-1.0</v>
      </c>
      <c r="AC48" s="22" t="str">
        <f t="shared" si="67"/>
        <v>-1.0</v>
      </c>
      <c r="AD48" s="23" t="str">
        <f t="shared" si="4"/>
        <v>-5</v>
      </c>
    </row>
    <row r="49" ht="15.75" customHeight="1">
      <c r="B49" s="18">
        <v>46.0</v>
      </c>
      <c r="C49" s="18" t="s">
        <v>38</v>
      </c>
      <c r="D49" s="19"/>
      <c r="E49" s="20" t="str">
        <f>Personal!G49</f>
        <v>Yissa Julavy Aquino Garcia</v>
      </c>
      <c r="F49" s="20" t="s">
        <v>13</v>
      </c>
      <c r="G49" s="20" t="str">
        <f>Personal!H49</f>
        <v>AGENTE</v>
      </c>
      <c r="H49" s="24">
        <v>0.3333333333333333</v>
      </c>
      <c r="I49" s="24" t="str">
        <f t="shared" si="58"/>
        <v>17:00</v>
      </c>
      <c r="J49" s="24">
        <v>0.5</v>
      </c>
      <c r="K49" s="24" t="str">
        <f>IF(G49="AGENTE",'Semana 1'!$J49+0.042,IF(G49="REDES",'Semana 1'!$J49+0.042,IF(G49="AGENTE RM",'Semana 1'!$J49+0.042,IF(G49="AGENTE APERTURA",'Semana 1'!$J49+0.021,IF(G49="AGENTE CIERRE",'Semana 1'!$J49+0.021," - ")))))</f>
        <v>13:00</v>
      </c>
      <c r="L49" s="24">
        <v>0.3541666666666667</v>
      </c>
      <c r="M49" s="24" t="str">
        <f>IF(G49="AGENTE",'Semana 1'!$L49+0.014,IF(G49="REDES",'Semana 1'!$L49+0.014,IF(G49="AGENTE RM",'Semana 1'!$L49+0.014,IF(G49="AGENTE APERTURA",'Semana 1'!$L49+0.014,IF(G49="AGENTE CIERRE",'Semana 1'!$L49+0.014," - ")))))</f>
        <v>8:50</v>
      </c>
      <c r="N49" s="24">
        <v>0.6180555555555556</v>
      </c>
      <c r="O49" s="24" t="str">
        <f>IF(G49="AGENTE",'Semana 1'!$N49+0.007,IF(G49="REDES",'Semana 1'!$N49+0.007,IF(G49="AGENTE RM",'Semana 1'!$N49+0.007,IF(G49="AGENTE APERTURA",'Semana 1'!$N49+0.007,IF(G49="AGENTE CIERRE",'Semana 1'!$N49+0.007," - ")))))</f>
        <v>15:00</v>
      </c>
      <c r="P49" s="25" t="str">
        <f t="shared" si="2"/>
        <v>8.0</v>
      </c>
      <c r="Q49" s="24">
        <v>0.3333333333333333</v>
      </c>
      <c r="R49" s="24" t="str">
        <f t="shared" si="59"/>
        <v>13:00</v>
      </c>
      <c r="S49" s="26"/>
      <c r="T49" s="26"/>
      <c r="U49" s="24">
        <v>0.4583333333333333</v>
      </c>
      <c r="V49" s="24" t="str">
        <f t="shared" si="68"/>
        <v>11:30</v>
      </c>
      <c r="W49" s="26"/>
      <c r="X49" s="26" t="str">
        <f t="shared" si="69"/>
        <v/>
      </c>
      <c r="Y49" s="25" t="str">
        <f t="shared" si="35"/>
        <v>5.0</v>
      </c>
      <c r="Z49" s="25" t="str">
        <f t="shared" ref="Z49:AC49" si="70">$P49</f>
        <v>8.0</v>
      </c>
      <c r="AA49" s="25" t="str">
        <f t="shared" si="70"/>
        <v>8.0</v>
      </c>
      <c r="AB49" s="25" t="str">
        <f t="shared" si="70"/>
        <v>8.0</v>
      </c>
      <c r="AC49" s="25" t="str">
        <f t="shared" si="70"/>
        <v>8.0</v>
      </c>
      <c r="AD49" s="27" t="str">
        <f t="shared" si="4"/>
        <v>45</v>
      </c>
    </row>
    <row r="50" ht="15.75" customHeight="1">
      <c r="B50" s="18">
        <v>45.0</v>
      </c>
      <c r="C50" s="18" t="s">
        <v>39</v>
      </c>
      <c r="D50" s="19"/>
      <c r="E50" s="20" t="str">
        <f>Personal!G50</f>
        <v>-</v>
      </c>
      <c r="F50" s="20" t="s">
        <v>13</v>
      </c>
      <c r="G50" s="20" t="str">
        <f>Personal!H50</f>
        <v>-</v>
      </c>
      <c r="H50" s="21"/>
      <c r="I50" s="21" t="str">
        <f t="shared" si="58"/>
        <v> </v>
      </c>
      <c r="J50" s="21"/>
      <c r="K50" s="21" t="str">
        <f>IF(G50="AGENTE",'Semana 1'!$J50+0.042,IF(G50="REDES",'Semana 1'!$J50+0.042,IF(G50="AGENTE RM",'Semana 1'!$J50+0.042,IF(G50="AGENTE APERTURA",'Semana 1'!$J50+0.021,IF(G50="AGENTE CIERRE",'Semana 1'!$J50+0.021," - ")))))</f>
        <v> - </v>
      </c>
      <c r="L50" s="21"/>
      <c r="M50" s="21" t="str">
        <f>IF(G50="AGENTE",'Semana 1'!$L50+0.014,IF(G50="REDES",'Semana 1'!$L50+0.014,IF(G50="AGENTE RM",'Semana 1'!$L50+0.014,IF(G50="AGENTE APERTURA",'Semana 1'!$L50+0.014,IF(G50="AGENTE CIERRE",'Semana 1'!$L50+0.014," - ")))))</f>
        <v> - </v>
      </c>
      <c r="N50" s="21"/>
      <c r="O50" s="21" t="str">
        <f>IF(G50="AGENTE",'Semana 1'!$N50+0.007,IF(G50="REDES",'Semana 1'!$N50+0.007,IF(G50="AGENTE RM",'Semana 1'!$N50+0.007,IF(G50="AGENTE APERTURA",'Semana 1'!$N50+0.007,IF(G50="AGENTE CIERRE",'Semana 1'!$N50+0.007," - ")))))</f>
        <v> - </v>
      </c>
      <c r="P50" s="22" t="str">
        <f t="shared" si="2"/>
        <v>-1.0</v>
      </c>
      <c r="Q50" s="21"/>
      <c r="R50" s="21" t="str">
        <f t="shared" si="59"/>
        <v/>
      </c>
      <c r="S50" s="28"/>
      <c r="T50" s="28"/>
      <c r="U50" s="21"/>
      <c r="V50" s="21" t="str">
        <f t="shared" si="68"/>
        <v/>
      </c>
      <c r="W50" s="28"/>
      <c r="X50" s="28"/>
      <c r="Y50" s="22" t="str">
        <f t="shared" si="35"/>
        <v>0.0</v>
      </c>
      <c r="Z50" s="22" t="str">
        <f t="shared" ref="Z50:AC50" si="71">$P50</f>
        <v>-1.0</v>
      </c>
      <c r="AA50" s="22" t="str">
        <f t="shared" si="71"/>
        <v>-1.0</v>
      </c>
      <c r="AB50" s="22" t="str">
        <f t="shared" si="71"/>
        <v>-1.0</v>
      </c>
      <c r="AC50" s="22" t="str">
        <f t="shared" si="71"/>
        <v>-1.0</v>
      </c>
      <c r="AD50" s="23" t="str">
        <f t="shared" si="4"/>
        <v>-5</v>
      </c>
    </row>
    <row r="51" ht="15.75" customHeight="1">
      <c r="B51" s="18">
        <v>46.0</v>
      </c>
      <c r="C51" s="18" t="s">
        <v>39</v>
      </c>
      <c r="D51" s="19"/>
      <c r="E51" s="20" t="str">
        <f>Personal!G51</f>
        <v>-</v>
      </c>
      <c r="F51" s="20" t="s">
        <v>13</v>
      </c>
      <c r="G51" s="20" t="str">
        <f>Personal!H51</f>
        <v>-</v>
      </c>
      <c r="H51" s="24"/>
      <c r="I51" s="24" t="str">
        <f t="shared" si="58"/>
        <v> </v>
      </c>
      <c r="J51" s="24"/>
      <c r="K51" s="24" t="str">
        <f>IF(G51="AGENTE",'Semana 1'!$J51+0.042,IF(G51="REDES",'Semana 1'!$J51+0.042,IF(G51="AGENTE RM",'Semana 1'!$J51+0.042,IF(G51="AGENTE APERTURA",'Semana 1'!$J51+0.021,IF(G51="AGENTE CIERRE",'Semana 1'!$J51+0.021," - ")))))</f>
        <v> - </v>
      </c>
      <c r="L51" s="24"/>
      <c r="M51" s="24" t="str">
        <f>IF(G51="AGENTE",'Semana 1'!$L51+0.014,IF(G51="REDES",'Semana 1'!$L51+0.014,IF(G51="AGENTE RM",'Semana 1'!$L51+0.014,IF(G51="AGENTE APERTURA",'Semana 1'!$L51+0.014,IF(G51="AGENTE CIERRE",'Semana 1'!$L51+0.014," - ")))))</f>
        <v> - </v>
      </c>
      <c r="N51" s="24"/>
      <c r="O51" s="24" t="str">
        <f>IF(G51="AGENTE",'Semana 1'!$N51+0.007,IF(G51="REDES",'Semana 1'!$N51+0.007,IF(G51="AGENTE RM",'Semana 1'!$N51+0.007,IF(G51="AGENTE APERTURA",'Semana 1'!$N51+0.007,IF(G51="AGENTE CIERRE",'Semana 1'!$N51+0.007," - ")))))</f>
        <v> - </v>
      </c>
      <c r="P51" s="25" t="str">
        <f t="shared" si="2"/>
        <v>-1.0</v>
      </c>
      <c r="Q51" s="24"/>
      <c r="R51" s="24" t="str">
        <f t="shared" si="59"/>
        <v/>
      </c>
      <c r="S51" s="26"/>
      <c r="T51" s="26"/>
      <c r="U51" s="24"/>
      <c r="V51" s="24" t="str">
        <f t="shared" si="68"/>
        <v/>
      </c>
      <c r="W51" s="26"/>
      <c r="X51" s="26"/>
      <c r="Y51" s="25" t="str">
        <f t="shared" si="35"/>
        <v>0.0</v>
      </c>
      <c r="Z51" s="25" t="str">
        <f t="shared" ref="Z51:AC51" si="72">$P51</f>
        <v>-1.0</v>
      </c>
      <c r="AA51" s="25" t="str">
        <f t="shared" si="72"/>
        <v>-1.0</v>
      </c>
      <c r="AB51" s="25" t="str">
        <f t="shared" si="72"/>
        <v>-1.0</v>
      </c>
      <c r="AC51" s="25" t="str">
        <f t="shared" si="72"/>
        <v>-1.0</v>
      </c>
      <c r="AD51" s="27" t="str">
        <f t="shared" si="4"/>
        <v>-5</v>
      </c>
    </row>
    <row r="52" ht="15.75" customHeight="1">
      <c r="B52" s="18">
        <v>50.0</v>
      </c>
      <c r="C52" s="18" t="s">
        <v>38</v>
      </c>
      <c r="D52" s="19"/>
      <c r="E52" s="20" t="str">
        <f>Personal!G52</f>
        <v>Karla Isabel Herandez Rivas</v>
      </c>
      <c r="F52" s="20" t="s">
        <v>13</v>
      </c>
      <c r="G52" s="20" t="str">
        <f>Personal!H52</f>
        <v>SOPORTE</v>
      </c>
      <c r="H52" s="21"/>
      <c r="I52" s="21" t="str">
        <f t="shared" si="58"/>
        <v> </v>
      </c>
      <c r="J52" s="21"/>
      <c r="K52" s="21" t="str">
        <f>IF(G52="AGENTE",'Semana 1'!$J52+0.042,IF(G52="REDES",'Semana 1'!$J52+0.042,IF(G52="AGENTE RM",'Semana 1'!$J52+0.042,IF(G52="AGENTE APERTURA",'Semana 1'!$J52+0.021,IF(G52="AGENTE CIERRE",'Semana 1'!$J52+0.021," - ")))))</f>
        <v> - </v>
      </c>
      <c r="L52" s="21"/>
      <c r="M52" s="21" t="str">
        <f>IF(G52="AGENTE",'Semana 1'!$L52+0.014,IF(G52="REDES",'Semana 1'!$L52+0.014,IF(G52="AGENTE RM",'Semana 1'!$L52+0.014,IF(G52="AGENTE APERTURA",'Semana 1'!$L52+0.014,IF(G52="AGENTE CIERRE",'Semana 1'!$L52+0.014," - ")))))</f>
        <v> - </v>
      </c>
      <c r="N52" s="21"/>
      <c r="O52" s="21" t="str">
        <f>IF(G52="AGENTE",'Semana 1'!$N52+0.007,IF(G52="REDES",'Semana 1'!$N52+0.007,IF(G52="AGENTE RM",'Semana 1'!$N52+0.007,IF(G52="AGENTE APERTURA",'Semana 1'!$N52+0.007,IF(G52="AGENTE CIERRE",'Semana 1'!$N52+0.007," - ")))))</f>
        <v> - </v>
      </c>
      <c r="P52" s="22" t="str">
        <f t="shared" si="2"/>
        <v>-1.0</v>
      </c>
      <c r="Q52" s="21"/>
      <c r="R52" s="21" t="str">
        <f t="shared" si="59"/>
        <v/>
      </c>
      <c r="S52" s="28"/>
      <c r="T52" s="28"/>
      <c r="U52" s="21"/>
      <c r="V52" s="21" t="str">
        <f t="shared" si="68"/>
        <v/>
      </c>
      <c r="W52" s="28"/>
      <c r="X52" s="28"/>
      <c r="Y52" s="22" t="str">
        <f t="shared" si="35"/>
        <v>0.0</v>
      </c>
      <c r="Z52" s="22" t="str">
        <f t="shared" ref="Z52:AC52" si="73">$P52</f>
        <v>-1.0</v>
      </c>
      <c r="AA52" s="22" t="str">
        <f t="shared" si="73"/>
        <v>-1.0</v>
      </c>
      <c r="AB52" s="22" t="str">
        <f t="shared" si="73"/>
        <v>-1.0</v>
      </c>
      <c r="AC52" s="22" t="str">
        <f t="shared" si="73"/>
        <v>-1.0</v>
      </c>
      <c r="AD52" s="23" t="str">
        <f t="shared" si="4"/>
        <v>-5</v>
      </c>
    </row>
    <row r="53" ht="15.75" customHeight="1">
      <c r="B53" s="18">
        <v>51.0</v>
      </c>
      <c r="C53" s="18" t="s">
        <v>38</v>
      </c>
      <c r="D53" s="19"/>
      <c r="E53" s="20" t="str">
        <f>Personal!G53</f>
        <v>Anthony Stiven Yocute Aragon</v>
      </c>
      <c r="F53" s="20" t="s">
        <v>13</v>
      </c>
      <c r="G53" s="20" t="s">
        <v>154</v>
      </c>
      <c r="H53" s="24">
        <v>0.2708333333333333</v>
      </c>
      <c r="I53" s="24">
        <v>0.6464333333333333</v>
      </c>
      <c r="J53" s="24">
        <v>0.5416666666666666</v>
      </c>
      <c r="K53" s="24">
        <v>0.5836666666666667</v>
      </c>
      <c r="L53" s="24">
        <v>0.3958333333333333</v>
      </c>
      <c r="M53" s="24">
        <v>0.4098333333333333</v>
      </c>
      <c r="N53" s="24">
        <v>0.6041666666666666</v>
      </c>
      <c r="O53" s="24">
        <v>0.6111666666666666</v>
      </c>
      <c r="P53" s="25">
        <v>8.0144</v>
      </c>
      <c r="Q53" s="24">
        <v>0.2916666666666667</v>
      </c>
      <c r="R53" s="24">
        <v>0.5006666666666667</v>
      </c>
      <c r="S53" s="26"/>
      <c r="T53" s="26"/>
      <c r="U53" s="24">
        <v>0.375</v>
      </c>
      <c r="V53" s="24">
        <v>0.396</v>
      </c>
      <c r="W53" s="26"/>
      <c r="X53" s="26"/>
      <c r="Y53" s="25">
        <v>5.016</v>
      </c>
      <c r="Z53" s="25">
        <v>8.0144</v>
      </c>
      <c r="AA53" s="25">
        <v>8.0144</v>
      </c>
      <c r="AB53" s="25">
        <v>8.0144</v>
      </c>
      <c r="AC53" s="25">
        <v>8.0144</v>
      </c>
      <c r="AD53" s="27">
        <v>45.088</v>
      </c>
    </row>
    <row r="54" ht="15.75" customHeight="1">
      <c r="B54" s="18">
        <v>52.0</v>
      </c>
      <c r="C54" s="18" t="s">
        <v>38</v>
      </c>
      <c r="D54" s="19"/>
      <c r="E54" s="20" t="str">
        <f>Personal!G54</f>
        <v>Daylin Paulette Quiroa Quiroa</v>
      </c>
      <c r="F54" s="20" t="s">
        <v>13</v>
      </c>
      <c r="G54" s="20" t="str">
        <f>Personal!H54</f>
        <v>AGENTE CIERRE</v>
      </c>
      <c r="H54" s="21">
        <v>0.7083333333333334</v>
      </c>
      <c r="I54" s="21">
        <v>1.0</v>
      </c>
      <c r="J54" s="21">
        <v>0.8333333333333334</v>
      </c>
      <c r="K54" s="21" t="str">
        <f>IF(G54="AGENTE",'Semana 1'!$J54+0.042,IF(G54="REDES",'Semana 1'!$J54+0.042,IF(G54="AGENTE RM",'Semana 1'!$J54+0.042,IF(G54="AGENTE APERTURA",'Semana 1'!$J54+0.021,IF(G54="AGENTE CIERRE",'Semana 1'!$J54+0.021," - ")))))</f>
        <v>20:30</v>
      </c>
      <c r="L54" s="21">
        <v>0.8541666666666666</v>
      </c>
      <c r="M54" s="21" t="str">
        <f>IF(G54="AGENTE",'Semana 1'!$L54+0.014,IF(G54="REDES",'Semana 1'!$L54+0.014,IF(G54="AGENTE RM",'Semana 1'!$L54+0.014,IF(G54="AGENTE APERTURA",'Semana 1'!$L54+0.014,IF(G54="AGENTE CIERRE",'Semana 1'!$L54+0.014," - ")))))</f>
        <v>20:50</v>
      </c>
      <c r="N54" s="21">
        <v>0.8680555555555555</v>
      </c>
      <c r="O54" s="21" t="str">
        <f>IF(G54="AGENTE",'Semana 1'!$N54+0.007,IF(G54="REDES",'Semana 1'!$N54+0.007,IF(G54="AGENTE RM",'Semana 1'!$N54+0.007,IF(G54="AGENTE APERTURA",'Semana 1'!$N54+0.007,IF(G54="AGENTE CIERRE",'Semana 1'!$N54+0.007," - ")))))</f>
        <v>21:00</v>
      </c>
      <c r="P54" s="22" t="str">
        <f t="shared" ref="P54:P87" si="75">(IFERROR(I54-H54,0)*24)-1</f>
        <v>6.0</v>
      </c>
      <c r="Q54" s="21">
        <v>0.7083333333333334</v>
      </c>
      <c r="R54" s="21">
        <v>1.0</v>
      </c>
      <c r="S54" s="21">
        <v>0.8333333333333334</v>
      </c>
      <c r="T54" s="21">
        <v>0.8543333333333334</v>
      </c>
      <c r="U54" s="21">
        <v>0.8541666666666666</v>
      </c>
      <c r="V54" s="21">
        <v>0.8681666666666666</v>
      </c>
      <c r="W54" s="21">
        <v>0.8680555555555555</v>
      </c>
      <c r="X54" s="21">
        <v>0.8750555555555555</v>
      </c>
      <c r="Y54" s="22" t="str">
        <f>(IFERROR(R54-Q54,0)*24)-1</f>
        <v>6.0</v>
      </c>
      <c r="Z54" s="22" t="str">
        <f t="shared" ref="Z54:AC54" si="74">$P54</f>
        <v>6.0</v>
      </c>
      <c r="AA54" s="22" t="str">
        <f t="shared" si="74"/>
        <v>6.0</v>
      </c>
      <c r="AB54" s="22" t="str">
        <f t="shared" si="74"/>
        <v>6.0</v>
      </c>
      <c r="AC54" s="22" t="str">
        <f t="shared" si="74"/>
        <v>6.0</v>
      </c>
      <c r="AD54" s="23" t="str">
        <f t="shared" ref="AD54:AD81" si="77">P54+Z54+AA54+AB54+AC54+Y54</f>
        <v>36</v>
      </c>
    </row>
    <row r="55" ht="15.75" customHeight="1">
      <c r="B55" s="18">
        <v>53.0</v>
      </c>
      <c r="C55" s="18" t="s">
        <v>38</v>
      </c>
      <c r="D55" s="19"/>
      <c r="E55" s="20" t="str">
        <f>Personal!G55</f>
        <v>-</v>
      </c>
      <c r="F55" s="20" t="s">
        <v>13</v>
      </c>
      <c r="G55" s="20" t="s">
        <v>41</v>
      </c>
      <c r="H55" s="24"/>
      <c r="I55" s="24" t="str">
        <f t="shared" ref="I55:I64" si="78">IF(H55=0," ",IF(Q55=0,(H55+0.417),(H55+0.3756)))</f>
        <v> </v>
      </c>
      <c r="J55" s="24"/>
      <c r="K55" s="24" t="str">
        <f>IF(G55="AGENTE",'Semana 1'!$J55+0.042,IF(G55="REDES",'Semana 1'!$J55+0.042,IF(G55="AGENTE RM",'Semana 1'!$J55+0.042,IF(G55="AGENTE APERTURA",'Semana 1'!$J55+0.021,IF(G55="AGENTE CIERRE",'Semana 1'!$J55+0.021," - ")))))</f>
        <v> - </v>
      </c>
      <c r="L55" s="24"/>
      <c r="M55" s="24" t="str">
        <f>IF(G55="AGENTE",'Semana 1'!$L55+0.014,IF(G55="REDES",'Semana 1'!$L55+0.014,IF(G55="AGENTE RM",'Semana 1'!$L55+0.014,IF(G55="AGENTE APERTURA",'Semana 1'!$L55+0.014,IF(G55="AGENTE CIERRE",'Semana 1'!$L55+0.014," - ")))))</f>
        <v> - </v>
      </c>
      <c r="N55" s="24"/>
      <c r="O55" s="24" t="str">
        <f>IF(G55="AGENTE",'Semana 1'!$N55+0.007,IF(G55="REDES",'Semana 1'!$N55+0.007,IF(G55="AGENTE RM",'Semana 1'!$N55+0.007,IF(G55="AGENTE APERTURA",'Semana 1'!$N55+0.007,IF(G55="AGENTE CIERRE",'Semana 1'!$N55+0.007," - ")))))</f>
        <v> - </v>
      </c>
      <c r="P55" s="25" t="str">
        <f t="shared" si="75"/>
        <v>-1.0</v>
      </c>
      <c r="Q55" s="24"/>
      <c r="R55" s="24" t="str">
        <f t="shared" ref="R55:R63" si="79">IF(Q55=0,"",Q55+0.209)</f>
        <v/>
      </c>
      <c r="S55" s="26"/>
      <c r="T55" s="26" t="str">
        <f>IF(G55="AGENTE",'Semana 1'!$S55+0.042,IF(G55="REDES",'Semana 1'!$S55+0.042,IF(G55="AGENTE RM",'Semana 1'!$S55+0.042,IF(G55="AGENTE APERTURA",'Semana 1'!$S55+0.021,IF(G55="AGENTE CIERRE",'Semana 1'!$S55+0.021," - ")))))</f>
        <v> - </v>
      </c>
      <c r="U55" s="24"/>
      <c r="V55" s="24" t="str">
        <f t="shared" ref="V55:V64" si="80">IF(U55=0,"",U55+0.021)</f>
        <v/>
      </c>
      <c r="W55" s="26"/>
      <c r="X55" s="26"/>
      <c r="Y55" s="25" t="str">
        <f t="shared" ref="Y55:Y67" si="81">(IFERROR(R55-Q55,0)*24)</f>
        <v>0.0</v>
      </c>
      <c r="Z55" s="25" t="str">
        <f t="shared" ref="Z55:AC55" si="76">$P55</f>
        <v>-1.0</v>
      </c>
      <c r="AA55" s="25" t="str">
        <f t="shared" si="76"/>
        <v>-1.0</v>
      </c>
      <c r="AB55" s="25" t="str">
        <f t="shared" si="76"/>
        <v>-1.0</v>
      </c>
      <c r="AC55" s="25" t="str">
        <f t="shared" si="76"/>
        <v>-1.0</v>
      </c>
      <c r="AD55" s="27" t="str">
        <f t="shared" si="77"/>
        <v>-5</v>
      </c>
    </row>
    <row r="56" ht="15.75" customHeight="1">
      <c r="B56" s="18">
        <v>54.0</v>
      </c>
      <c r="C56" s="18" t="s">
        <v>38</v>
      </c>
      <c r="D56" s="19"/>
      <c r="E56" s="20" t="str">
        <f>Personal!G56</f>
        <v>Nora Azucena Sanchez Rodriguez</v>
      </c>
      <c r="F56" s="20" t="s">
        <v>13</v>
      </c>
      <c r="G56" s="20" t="str">
        <f>Personal!H56</f>
        <v>AGENTE</v>
      </c>
      <c r="H56" s="21">
        <v>0.2916666666666667</v>
      </c>
      <c r="I56" s="21" t="str">
        <f t="shared" si="78"/>
        <v>16:00</v>
      </c>
      <c r="J56" s="21">
        <v>0.5208333333333334</v>
      </c>
      <c r="K56" s="21" t="str">
        <f>IF(G56="AGENTE",'Semana 1'!$J56+0.042,IF(G56="REDES",'Semana 1'!$J56+0.042,IF(G56="AGENTE RM",'Semana 1'!$J56+0.042,IF(G56="AGENTE APERTURA",'Semana 1'!$J56+0.021,IF(G56="AGENTE CIERRE",'Semana 1'!$J56+0.021," - ")))))</f>
        <v>13:30</v>
      </c>
      <c r="L56" s="21">
        <v>0.3541666666666667</v>
      </c>
      <c r="M56" s="21" t="str">
        <f>IF(G56="AGENTE",'Semana 1'!$L56+0.014,IF(G56="REDES",'Semana 1'!$L56+0.014,IF(G56="AGENTE RM",'Semana 1'!$L56+0.014,IF(G56="AGENTE APERTURA",'Semana 1'!$L56+0.014,IF(G56="AGENTE CIERRE",'Semana 1'!$L56+0.014," - ")))))</f>
        <v>8:50</v>
      </c>
      <c r="N56" s="21">
        <v>0.65625</v>
      </c>
      <c r="O56" s="21" t="str">
        <f>IF(G56="AGENTE",'Semana 1'!$N56+0.007,IF(G56="REDES",'Semana 1'!$N56+0.007,IF(G56="AGENTE RM",'Semana 1'!$N56+0.007,IF(G56="AGENTE APERTURA",'Semana 1'!$N56+0.007,IF(G56="AGENTE CIERRE",'Semana 1'!$N56+0.007," - ")))))</f>
        <v>15:55</v>
      </c>
      <c r="P56" s="22" t="str">
        <f t="shared" si="75"/>
        <v>8.0</v>
      </c>
      <c r="Q56" s="21">
        <v>0.4166666666666667</v>
      </c>
      <c r="R56" s="21" t="str">
        <f t="shared" si="79"/>
        <v>15:00</v>
      </c>
      <c r="S56" s="28"/>
      <c r="T56" s="28"/>
      <c r="U56" s="21">
        <v>0.5625</v>
      </c>
      <c r="V56" s="21" t="str">
        <f t="shared" si="80"/>
        <v>14:00</v>
      </c>
      <c r="W56" s="28"/>
      <c r="X56" s="28"/>
      <c r="Y56" s="22" t="str">
        <f t="shared" si="81"/>
        <v>5.0</v>
      </c>
      <c r="Z56" s="22" t="str">
        <f t="shared" ref="Z56:AC56" si="82">$P56</f>
        <v>8.0</v>
      </c>
      <c r="AA56" s="22" t="str">
        <f t="shared" si="82"/>
        <v>8.0</v>
      </c>
      <c r="AB56" s="22" t="str">
        <f t="shared" si="82"/>
        <v>8.0</v>
      </c>
      <c r="AC56" s="22" t="str">
        <f t="shared" si="82"/>
        <v>8.0</v>
      </c>
      <c r="AD56" s="23" t="str">
        <f t="shared" si="77"/>
        <v>45</v>
      </c>
    </row>
    <row r="57" ht="15.75" customHeight="1">
      <c r="B57" s="18">
        <v>55.0</v>
      </c>
      <c r="C57" s="18" t="s">
        <v>38</v>
      </c>
      <c r="D57" s="19"/>
      <c r="E57" s="20" t="str">
        <f>Personal!G57</f>
        <v>Dorian Estefany Sit Santos</v>
      </c>
      <c r="F57" s="20" t="s">
        <v>13</v>
      </c>
      <c r="G57" s="20" t="str">
        <f>Personal!H57</f>
        <v>AGENTE RM</v>
      </c>
      <c r="H57" s="24">
        <v>0.3541666666666667</v>
      </c>
      <c r="I57" s="24" t="str">
        <f t="shared" si="78"/>
        <v>17:30</v>
      </c>
      <c r="J57" s="24">
        <v>0.5833333333333334</v>
      </c>
      <c r="K57" s="24" t="str">
        <f>IF(G57="AGENTE",'Semana 1'!$J57+0.042,IF(G57="REDES",'Semana 1'!$J57+0.042,IF(G57="AGENTE RM",'Semana 1'!$J57+0.042,IF(G57="AGENTE APERTURA",'Semana 1'!$J57+0.021,IF(G57="AGENTE CIERRE",'Semana 1'!$J57+0.021," - ")))))</f>
        <v>15:00</v>
      </c>
      <c r="L57" s="24">
        <v>0.40277777777777773</v>
      </c>
      <c r="M57" s="24" t="str">
        <f>IF(G57="AGENTE",'Semana 1'!$L57+0.014,IF(G57="REDES",'Semana 1'!$L57+0.014,IF(G57="AGENTE RM",'Semana 1'!$L57+0.014,IF(G57="AGENTE APERTURA",'Semana 1'!$L57+0.014,IF(G57="AGENTE CIERRE",'Semana 1'!$L57+0.014," - ")))))</f>
        <v>10:00</v>
      </c>
      <c r="N57" s="24">
        <v>0.6458333333333334</v>
      </c>
      <c r="O57" s="24" t="str">
        <f>IF(G57="AGENTE",'Semana 1'!$N57+0.007,IF(G57="REDES",'Semana 1'!$N57+0.007,IF(G57="AGENTE RM",'Semana 1'!$N57+0.007,IF(G57="AGENTE APERTURA",'Semana 1'!$N57+0.007,IF(G57="AGENTE CIERRE",'Semana 1'!$N57+0.007," - ")))))</f>
        <v>15:40</v>
      </c>
      <c r="P57" s="25" t="str">
        <f t="shared" si="75"/>
        <v>8.0</v>
      </c>
      <c r="Q57" s="24">
        <v>0.3333333333333333</v>
      </c>
      <c r="R57" s="24" t="str">
        <f t="shared" si="79"/>
        <v>13:00</v>
      </c>
      <c r="S57" s="26"/>
      <c r="T57" s="26"/>
      <c r="U57" s="24">
        <v>0.375</v>
      </c>
      <c r="V57" s="24" t="str">
        <f t="shared" si="80"/>
        <v>9:30</v>
      </c>
      <c r="W57" s="26"/>
      <c r="X57" s="26"/>
      <c r="Y57" s="25" t="str">
        <f t="shared" si="81"/>
        <v>5.0</v>
      </c>
      <c r="Z57" s="25" t="str">
        <f t="shared" ref="Z57:AC57" si="83">$P57</f>
        <v>8.0</v>
      </c>
      <c r="AA57" s="25" t="str">
        <f t="shared" si="83"/>
        <v>8.0</v>
      </c>
      <c r="AB57" s="25" t="str">
        <f t="shared" si="83"/>
        <v>8.0</v>
      </c>
      <c r="AC57" s="25" t="str">
        <f t="shared" si="83"/>
        <v>8.0</v>
      </c>
      <c r="AD57" s="27" t="str">
        <f t="shared" si="77"/>
        <v>45</v>
      </c>
    </row>
    <row r="58" ht="15.75" customHeight="1">
      <c r="B58" s="18">
        <v>56.0</v>
      </c>
      <c r="C58" s="18" t="s">
        <v>38</v>
      </c>
      <c r="D58" s="19"/>
      <c r="E58" s="20" t="str">
        <f>Personal!G58</f>
        <v>Benjamin Max Israel Boc Vicente</v>
      </c>
      <c r="F58" s="20" t="s">
        <v>13</v>
      </c>
      <c r="G58" s="20" t="str">
        <f>Personal!H58</f>
        <v>AGENTE</v>
      </c>
      <c r="H58" s="21">
        <v>0.3333333333333333</v>
      </c>
      <c r="I58" s="21" t="str">
        <f t="shared" si="78"/>
        <v>17:00</v>
      </c>
      <c r="J58" s="21">
        <v>0.625</v>
      </c>
      <c r="K58" s="21" t="str">
        <f>IF(G58="AGENTE",'Semana 1'!$J58+0.042,IF(G58="REDES",'Semana 1'!$J58+0.042,IF(G58="AGENTE RM",'Semana 1'!$J58+0.042,IF(G58="AGENTE APERTURA",'Semana 1'!$J58+0.021,IF(G58="AGENTE CIERRE",'Semana 1'!$J58+0.021," - ")))))</f>
        <v>16:00</v>
      </c>
      <c r="L58" s="21">
        <v>0.4166666666666667</v>
      </c>
      <c r="M58" s="21" t="str">
        <f>IF(G58="AGENTE",'Semana 1'!$L58+0.014,IF(G58="REDES",'Semana 1'!$L58+0.014,IF(G58="AGENTE RM",'Semana 1'!$L58+0.014,IF(G58="AGENTE APERTURA",'Semana 1'!$L58+0.014,IF(G58="AGENTE CIERRE",'Semana 1'!$L58+0.014," - ")))))</f>
        <v>10:20</v>
      </c>
      <c r="N58" s="21">
        <v>0.1875</v>
      </c>
      <c r="O58" s="21" t="str">
        <f>IF(G58="AGENTE",'Semana 1'!$N58+0.007,IF(G58="REDES",'Semana 1'!$N58+0.007,IF(G58="AGENTE RM",'Semana 1'!$N58+0.007,IF(G58="AGENTE APERTURA",'Semana 1'!$N58+0.007,IF(G58="AGENTE CIERRE",'Semana 1'!$N58+0.007," - ")))))</f>
        <v>4:40</v>
      </c>
      <c r="P58" s="22" t="str">
        <f t="shared" si="75"/>
        <v>8.0</v>
      </c>
      <c r="Q58" s="21">
        <v>0.3333333333333333</v>
      </c>
      <c r="R58" s="21" t="str">
        <f t="shared" si="79"/>
        <v>13:00</v>
      </c>
      <c r="S58" s="21"/>
      <c r="T58" s="21"/>
      <c r="U58" s="21">
        <v>0.3541666666666667</v>
      </c>
      <c r="V58" s="21" t="str">
        <f t="shared" si="80"/>
        <v>9:00</v>
      </c>
      <c r="W58" s="21"/>
      <c r="X58" s="21"/>
      <c r="Y58" s="22" t="str">
        <f t="shared" si="81"/>
        <v>5.0</v>
      </c>
      <c r="Z58" s="22" t="str">
        <f t="shared" ref="Z58:AC58" si="84">$P58</f>
        <v>8.0</v>
      </c>
      <c r="AA58" s="22" t="str">
        <f t="shared" si="84"/>
        <v>8.0</v>
      </c>
      <c r="AB58" s="22" t="str">
        <f t="shared" si="84"/>
        <v>8.0</v>
      </c>
      <c r="AC58" s="22" t="str">
        <f t="shared" si="84"/>
        <v>8.0</v>
      </c>
      <c r="AD58" s="23" t="str">
        <f t="shared" si="77"/>
        <v>45</v>
      </c>
    </row>
    <row r="59" ht="15.75" customHeight="1">
      <c r="B59" s="18">
        <v>57.0</v>
      </c>
      <c r="C59" s="18" t="s">
        <v>38</v>
      </c>
      <c r="D59" s="19"/>
      <c r="E59" s="20" t="str">
        <f>Personal!G59</f>
        <v>Ventura Glenda Paola Echeveria Perez</v>
      </c>
      <c r="F59" s="20"/>
      <c r="G59" s="20" t="str">
        <f>Personal!H59</f>
        <v>AGENTE RM</v>
      </c>
      <c r="H59" s="24">
        <v>0.3333333333333333</v>
      </c>
      <c r="I59" s="24" t="str">
        <f t="shared" si="78"/>
        <v>17:00</v>
      </c>
      <c r="J59" s="24">
        <v>0.5416666666666666</v>
      </c>
      <c r="K59" s="24" t="str">
        <f>IF(G59="AGENTE",'Semana 1'!$J59+0.042,IF(G59="REDES",'Semana 1'!$J59+0.042,IF(G59="AGENTE RM",'Semana 1'!$J59+0.042,IF(G59="AGENTE APERTURA",'Semana 1'!$J59+0.021,IF(G59="AGENTE CIERRE",'Semana 1'!$J59+0.021," - ")))))</f>
        <v>14:00</v>
      </c>
      <c r="L59" s="24">
        <v>0.3854166666666667</v>
      </c>
      <c r="M59" s="24" t="str">
        <f>IF(G59="AGENTE",'Semana 1'!$L59+0.014,IF(G59="REDES",'Semana 1'!$L59+0.014,IF(G59="AGENTE RM",'Semana 1'!$L59+0.014,IF(G59="AGENTE APERTURA",'Semana 1'!$L59+0.014,IF(G59="AGENTE CIERRE",'Semana 1'!$L59+0.014," - ")))))</f>
        <v>9:35</v>
      </c>
      <c r="N59" s="24">
        <v>0.6354166666666666</v>
      </c>
      <c r="O59" s="24" t="str">
        <f>IF(G59="AGENTE",'Semana 1'!$N59+0.007,IF(G59="REDES",'Semana 1'!$N59+0.007,IF(G59="AGENTE RM",'Semana 1'!$N59+0.007,IF(G59="AGENTE APERTURA",'Semana 1'!$N59+0.007,IF(G59="AGENTE CIERRE",'Semana 1'!$N59+0.007," - ")))))</f>
        <v>15:25</v>
      </c>
      <c r="P59" s="25" t="str">
        <f t="shared" si="75"/>
        <v>8.0</v>
      </c>
      <c r="Q59" s="24">
        <v>0.3333333333333333</v>
      </c>
      <c r="R59" s="24" t="str">
        <f t="shared" si="79"/>
        <v>13:00</v>
      </c>
      <c r="S59" s="24"/>
      <c r="T59" s="24"/>
      <c r="U59" s="24">
        <v>0.3958333333333333</v>
      </c>
      <c r="V59" s="24" t="str">
        <f t="shared" si="80"/>
        <v>10:00</v>
      </c>
      <c r="W59" s="24"/>
      <c r="X59" s="24"/>
      <c r="Y59" s="25" t="str">
        <f t="shared" si="81"/>
        <v>5.0</v>
      </c>
      <c r="Z59" s="25" t="str">
        <f t="shared" ref="Z59:AC59" si="85">$P59</f>
        <v>8.0</v>
      </c>
      <c r="AA59" s="25" t="str">
        <f t="shared" si="85"/>
        <v>8.0</v>
      </c>
      <c r="AB59" s="25" t="str">
        <f t="shared" si="85"/>
        <v>8.0</v>
      </c>
      <c r="AC59" s="25" t="str">
        <f t="shared" si="85"/>
        <v>8.0</v>
      </c>
      <c r="AD59" s="27" t="str">
        <f t="shared" si="77"/>
        <v>45</v>
      </c>
    </row>
    <row r="60" ht="15.75" customHeight="1">
      <c r="B60" s="18">
        <v>58.0</v>
      </c>
      <c r="C60" s="18" t="s">
        <v>38</v>
      </c>
      <c r="D60" s="19"/>
      <c r="E60" s="20" t="str">
        <f>Personal!G60</f>
        <v>Oscar Rene Ovalle Letran</v>
      </c>
      <c r="F60" s="20"/>
      <c r="G60" s="20" t="str">
        <f>Personal!H60</f>
        <v>SOPORTE</v>
      </c>
      <c r="H60" s="24"/>
      <c r="I60" s="24" t="str">
        <f t="shared" si="78"/>
        <v> </v>
      </c>
      <c r="J60" s="24"/>
      <c r="K60" s="24" t="str">
        <f>IF(G60="AGENTE",'Semana 1'!$J60+0.042,IF(G60="REDES",'Semana 1'!$J60+0.042,IF(G60="AGENTE RM",'Semana 1'!$J60+0.042,IF(G60="AGENTE APERTURA",'Semana 1'!$J60+0.021,IF(G60="AGENTE CIERRE",'Semana 1'!$J60+0.021," - ")))))</f>
        <v> - </v>
      </c>
      <c r="L60" s="24"/>
      <c r="M60" s="24" t="str">
        <f>IF(G60="AGENTE",'Semana 1'!$L60+0.014,IF(G60="REDES",'Semana 1'!$L60+0.014,IF(G60="AGENTE RM",'Semana 1'!$L60+0.014,IF(G60="AGENTE APERTURA",'Semana 1'!$L60+0.014,IF(G60="AGENTE CIERRE",'Semana 1'!$L60+0.014," - ")))))</f>
        <v> - </v>
      </c>
      <c r="N60" s="24"/>
      <c r="O60" s="24" t="str">
        <f>IF(G60="AGENTE",'Semana 1'!$N60+0.007,IF(G60="REDES",'Semana 1'!$N60+0.007,IF(G60="AGENTE RM",'Semana 1'!$N60+0.007,IF(G60="AGENTE APERTURA",'Semana 1'!$N60+0.007,IF(G60="AGENTE CIERRE",'Semana 1'!$N60+0.007," - ")))))</f>
        <v> - </v>
      </c>
      <c r="P60" s="25" t="str">
        <f t="shared" si="75"/>
        <v>-1.0</v>
      </c>
      <c r="Q60" s="24"/>
      <c r="R60" s="24" t="str">
        <f t="shared" si="79"/>
        <v/>
      </c>
      <c r="S60" s="24"/>
      <c r="T60" s="24" t="str">
        <f>IF(G60="AGENTE",'Semana 1'!$S60+0.042,IF(G60="REDES",'Semana 1'!$S60+0.042,IF(G60="AGENTE RM",'Semana 1'!$S60+0.042,IF(G60="AGENTE APERTURA",'Semana 1'!$S60+0.021,IF(G60="AGENTE CIERRE",'Semana 1'!$S60+0.021," - ")))))</f>
        <v> - </v>
      </c>
      <c r="U60" s="24"/>
      <c r="V60" s="24" t="str">
        <f t="shared" si="80"/>
        <v/>
      </c>
      <c r="W60" s="24"/>
      <c r="X60" s="24"/>
      <c r="Y60" s="25" t="str">
        <f t="shared" si="81"/>
        <v>0.0</v>
      </c>
      <c r="Z60" s="25" t="str">
        <f t="shared" ref="Z60:AC60" si="86">$P60</f>
        <v>-1.0</v>
      </c>
      <c r="AA60" s="25" t="str">
        <f t="shared" si="86"/>
        <v>-1.0</v>
      </c>
      <c r="AB60" s="25" t="str">
        <f t="shared" si="86"/>
        <v>-1.0</v>
      </c>
      <c r="AC60" s="25" t="str">
        <f t="shared" si="86"/>
        <v>-1.0</v>
      </c>
      <c r="AD60" s="23" t="str">
        <f t="shared" si="77"/>
        <v>-5</v>
      </c>
    </row>
    <row r="61" ht="15.75" customHeight="1">
      <c r="B61" s="18">
        <v>59.0</v>
      </c>
      <c r="C61" s="18" t="s">
        <v>38</v>
      </c>
      <c r="D61" s="19"/>
      <c r="E61" s="20" t="str">
        <f>Personal!G61</f>
        <v>Mariela Edith Torres Figueroa</v>
      </c>
      <c r="F61" s="20"/>
      <c r="G61" s="20" t="str">
        <f>Personal!H61</f>
        <v>AGENTE</v>
      </c>
      <c r="H61" s="24">
        <v>0.3333333333333333</v>
      </c>
      <c r="I61" s="24" t="str">
        <f t="shared" si="78"/>
        <v>17:00</v>
      </c>
      <c r="J61" s="24">
        <v>0.5</v>
      </c>
      <c r="K61" s="24" t="str">
        <f>IF(G61="AGENTE",'Semana 1'!$J61+0.042,IF(G61="REDES",'Semana 1'!$J61+0.042,IF(G61="AGENTE RM",'Semana 1'!$J61+0.042,IF(G61="AGENTE APERTURA",'Semana 1'!$J61+0.021,IF(G61="AGENTE CIERRE",'Semana 1'!$J61+0.021," - ")))))</f>
        <v>13:00</v>
      </c>
      <c r="L61" s="24">
        <v>0.3854166666666667</v>
      </c>
      <c r="M61" s="24" t="str">
        <f>IF(G61="AGENTE",'Semana 1'!$L61+0.014,IF(G61="REDES",'Semana 1'!$L61+0.014,IF(G61="AGENTE RM",'Semana 1'!$L61+0.014,IF(G61="AGENTE APERTURA",'Semana 1'!$L61+0.014,IF(G61="AGENTE CIERRE",'Semana 1'!$L61+0.014," - ")))))</f>
        <v>9:35</v>
      </c>
      <c r="N61" s="24">
        <v>0.71875</v>
      </c>
      <c r="O61" s="24" t="str">
        <f>IF(G61="AGENTE",'Semana 1'!$N61+0.007,IF(G61="REDES",'Semana 1'!$N61+0.007,IF(G61="AGENTE RM",'Semana 1'!$N61+0.007,IF(G61="AGENTE APERTURA",'Semana 1'!$N61+0.007,IF(G61="AGENTE CIERRE",'Semana 1'!$N61+0.007," - ")))))</f>
        <v>17:25</v>
      </c>
      <c r="P61" s="25" t="str">
        <f t="shared" si="75"/>
        <v>8.0</v>
      </c>
      <c r="Q61" s="24">
        <v>0.4166666666666667</v>
      </c>
      <c r="R61" s="24" t="str">
        <f t="shared" si="79"/>
        <v>15:00</v>
      </c>
      <c r="S61" s="24"/>
      <c r="T61" s="24"/>
      <c r="U61" s="24">
        <v>0.5</v>
      </c>
      <c r="V61" s="24" t="str">
        <f t="shared" si="80"/>
        <v>12:30</v>
      </c>
      <c r="W61" s="24"/>
      <c r="X61" s="24"/>
      <c r="Y61" s="25" t="str">
        <f t="shared" si="81"/>
        <v>5.0</v>
      </c>
      <c r="Z61" s="25" t="str">
        <f t="shared" ref="Z61:AC61" si="87">$P61</f>
        <v>8.0</v>
      </c>
      <c r="AA61" s="25" t="str">
        <f t="shared" si="87"/>
        <v>8.0</v>
      </c>
      <c r="AB61" s="25" t="str">
        <f t="shared" si="87"/>
        <v>8.0</v>
      </c>
      <c r="AC61" s="25" t="str">
        <f t="shared" si="87"/>
        <v>8.0</v>
      </c>
      <c r="AD61" s="27" t="str">
        <f t="shared" si="77"/>
        <v>45</v>
      </c>
    </row>
    <row r="62" ht="15.75" customHeight="1">
      <c r="B62" s="18">
        <v>60.0</v>
      </c>
      <c r="C62" s="18" t="s">
        <v>38</v>
      </c>
      <c r="D62" s="19"/>
      <c r="E62" s="20" t="str">
        <f>Personal!G62</f>
        <v>Marlyn Argentina Aguilar Lemus</v>
      </c>
      <c r="F62" s="20"/>
      <c r="G62" s="20" t="str">
        <f>Personal!H62</f>
        <v>AGENTE</v>
      </c>
      <c r="H62" s="24">
        <v>0.2708333333333333</v>
      </c>
      <c r="I62" s="24" t="str">
        <f t="shared" si="78"/>
        <v>15:30</v>
      </c>
      <c r="J62" s="24">
        <v>0.5</v>
      </c>
      <c r="K62" s="24" t="str">
        <f>IF(G62="AGENTE",'Semana 1'!$J62+0.042,IF(G62="REDES",'Semana 1'!$J62+0.042,IF(G62="AGENTE RM",'Semana 1'!$J62+0.042,IF(G62="AGENTE APERTURA",'Semana 1'!$J62+0.021,IF(G62="AGENTE CIERRE",'Semana 1'!$J62+0.021," - ")))))</f>
        <v>13:00</v>
      </c>
      <c r="L62" s="24">
        <v>0.3541666666666667</v>
      </c>
      <c r="M62" s="24" t="str">
        <f>IF(G62="AGENTE",'Semana 1'!$L62+0.014,IF(G62="REDES",'Semana 1'!$L62+0.014,IF(G62="AGENTE RM",'Semana 1'!$L62+0.014,IF(G62="AGENTE APERTURA",'Semana 1'!$L62+0.014,IF(G62="AGENTE CIERRE",'Semana 1'!$L62+0.014," - ")))))</f>
        <v>8:50</v>
      </c>
      <c r="N62" s="24">
        <v>0.65625</v>
      </c>
      <c r="O62" s="24" t="str">
        <f>IF(G62="AGENTE",'Semana 1'!$N62+0.007,IF(G62="REDES",'Semana 1'!$N62+0.007,IF(G62="AGENTE RM",'Semana 1'!$N62+0.007,IF(G62="AGENTE APERTURA",'Semana 1'!$N62+0.007,IF(G62="AGENTE CIERRE",'Semana 1'!$N62+0.007," - ")))))</f>
        <v>15:55</v>
      </c>
      <c r="P62" s="25" t="str">
        <f t="shared" si="75"/>
        <v>8.0</v>
      </c>
      <c r="Q62" s="24">
        <v>0.4166666666666667</v>
      </c>
      <c r="R62" s="24" t="str">
        <f t="shared" si="79"/>
        <v>15:00</v>
      </c>
      <c r="S62" s="24"/>
      <c r="T62" s="24"/>
      <c r="U62" s="24">
        <v>0.5833333333333334</v>
      </c>
      <c r="V62" s="24" t="str">
        <f t="shared" si="80"/>
        <v>14:30</v>
      </c>
      <c r="W62" s="24"/>
      <c r="X62" s="24"/>
      <c r="Y62" s="25" t="str">
        <f t="shared" si="81"/>
        <v>5.0</v>
      </c>
      <c r="Z62" s="25" t="str">
        <f t="shared" ref="Z62:AC62" si="88">$P62</f>
        <v>8.0</v>
      </c>
      <c r="AA62" s="25" t="str">
        <f t="shared" si="88"/>
        <v>8.0</v>
      </c>
      <c r="AB62" s="25" t="str">
        <f t="shared" si="88"/>
        <v>8.0</v>
      </c>
      <c r="AC62" s="25" t="str">
        <f t="shared" si="88"/>
        <v>8.0</v>
      </c>
      <c r="AD62" s="23" t="str">
        <f t="shared" si="77"/>
        <v>45</v>
      </c>
    </row>
    <row r="63" ht="15.75" customHeight="1">
      <c r="B63" s="18">
        <v>61.0</v>
      </c>
      <c r="C63" s="18" t="s">
        <v>38</v>
      </c>
      <c r="D63" s="19"/>
      <c r="E63" s="20" t="str">
        <f>Personal!G63</f>
        <v>Ilse Beatriz Perez Roque</v>
      </c>
      <c r="F63" s="20"/>
      <c r="G63" s="20" t="str">
        <f>Personal!H63</f>
        <v>AGENTE</v>
      </c>
      <c r="H63" s="24">
        <v>0.3333333333333333</v>
      </c>
      <c r="I63" s="24" t="str">
        <f t="shared" si="78"/>
        <v>17:00</v>
      </c>
      <c r="J63" s="24">
        <v>0.5833333333333334</v>
      </c>
      <c r="K63" s="24" t="str">
        <f>IF(G63="AGENTE",'Semana 1'!$J63+0.042,IF(G63="REDES",'Semana 1'!$J63+0.042,IF(G63="AGENTE RM",'Semana 1'!$J63+0.042,IF(G63="AGENTE APERTURA",'Semana 1'!$J63+0.021,IF(G63="AGENTE CIERRE",'Semana 1'!$J63+0.021," - ")))))</f>
        <v>15:00</v>
      </c>
      <c r="L63" s="24">
        <v>0.4166666666666667</v>
      </c>
      <c r="M63" s="24" t="str">
        <f>IF(G63="AGENTE",'Semana 1'!$L63+0.014,IF(G63="REDES",'Semana 1'!$L63+0.014,IF(G63="AGENTE RM",'Semana 1'!$L63+0.014,IF(G63="AGENTE APERTURA",'Semana 1'!$L63+0.014,IF(G63="AGENTE CIERRE",'Semana 1'!$L63+0.014," - ")))))</f>
        <v>10:20</v>
      </c>
      <c r="N63" s="24">
        <v>0.6875</v>
      </c>
      <c r="O63" s="24" t="str">
        <f>IF(G63="AGENTE",'Semana 1'!$N63+0.007,IF(G63="REDES",'Semana 1'!$N63+0.007,IF(G63="AGENTE RM",'Semana 1'!$N63+0.007,IF(G63="AGENTE APERTURA",'Semana 1'!$N63+0.007,IF(G63="AGENTE CIERRE",'Semana 1'!$N63+0.007," - ")))))</f>
        <v>16:40</v>
      </c>
      <c r="P63" s="25" t="str">
        <f t="shared" si="75"/>
        <v>8.0</v>
      </c>
      <c r="Q63" s="24">
        <v>0.3958333333333333</v>
      </c>
      <c r="R63" s="24" t="str">
        <f t="shared" si="79"/>
        <v>14:30</v>
      </c>
      <c r="S63" s="24"/>
      <c r="T63" s="24"/>
      <c r="U63" s="24">
        <v>0.5416666666666666</v>
      </c>
      <c r="V63" s="24" t="str">
        <f t="shared" si="80"/>
        <v>13:30</v>
      </c>
      <c r="W63" s="24"/>
      <c r="X63" s="24"/>
      <c r="Y63" s="25" t="str">
        <f t="shared" si="81"/>
        <v>5.0</v>
      </c>
      <c r="Z63" s="25" t="str">
        <f t="shared" ref="Z63:AC63" si="89">$P63</f>
        <v>8.0</v>
      </c>
      <c r="AA63" s="25" t="str">
        <f t="shared" si="89"/>
        <v>8.0</v>
      </c>
      <c r="AB63" s="25" t="str">
        <f t="shared" si="89"/>
        <v>8.0</v>
      </c>
      <c r="AC63" s="25" t="str">
        <f t="shared" si="89"/>
        <v>8.0</v>
      </c>
      <c r="AD63" s="27" t="str">
        <f t="shared" si="77"/>
        <v>45</v>
      </c>
    </row>
    <row r="64" ht="15.75" customHeight="1">
      <c r="B64" s="18">
        <v>62.0</v>
      </c>
      <c r="C64" s="18" t="s">
        <v>39</v>
      </c>
      <c r="D64" s="19"/>
      <c r="E64" s="20" t="str">
        <f>Personal!G64</f>
        <v>-</v>
      </c>
      <c r="F64" s="20"/>
      <c r="G64" s="20" t="str">
        <f>Personal!H64</f>
        <v>-</v>
      </c>
      <c r="H64" s="24"/>
      <c r="I64" s="24" t="str">
        <f t="shared" si="78"/>
        <v> </v>
      </c>
      <c r="J64" s="24"/>
      <c r="K64" s="24" t="str">
        <f>IF(G64="AGENTE",'Semana 1'!$J64+0.042,IF(G64="REDES",'Semana 1'!$J64+0.042,IF(G64="AGENTE RM",'Semana 1'!$J64+0.042,IF(G64="AGENTE APERTURA",'Semana 1'!$J64+0.021,IF(G64="AGENTE CIERRE",'Semana 1'!$J64+0.021," - ")))))</f>
        <v> - </v>
      </c>
      <c r="L64" s="24"/>
      <c r="M64" s="24" t="str">
        <f>IF(G64="AGENTE",'Semana 1'!$L64+0.014,IF(G64="REDES",'Semana 1'!$L64+0.014,IF(G64="AGENTE RM",'Semana 1'!$L64+0.014,IF(G64="AGENTE APERTURA",'Semana 1'!$L64+0.014,IF(G64="AGENTE CIERRE",'Semana 1'!$L64+0.014," - ")))))</f>
        <v> - </v>
      </c>
      <c r="N64" s="24"/>
      <c r="O64" s="24" t="str">
        <f>IF(G64="AGENTE",'Semana 1'!$N64+0.007,IF(G64="REDES",'Semana 1'!$N64+0.007,IF(G64="AGENTE RM",'Semana 1'!$N64+0.007,IF(G64="AGENTE APERTURA",'Semana 1'!$N64+0.007,IF(G64="AGENTE CIERRE",'Semana 1'!$N64+0.007," - ")))))</f>
        <v> - </v>
      </c>
      <c r="P64" s="25" t="str">
        <f t="shared" si="75"/>
        <v>-1.0</v>
      </c>
      <c r="Q64" s="24"/>
      <c r="R64" s="24"/>
      <c r="S64" s="24"/>
      <c r="T64" s="24" t="str">
        <f>IF(G64="AGENTE",'Semana 1'!$S64+0.042,IF(G64="REDES",'Semana 1'!$S64+0.042,IF(G64="AGENTE RM",'Semana 1'!$S64+0.042,IF(G64="AGENTE APERTURA",'Semana 1'!$S64+0.021,IF(G64="AGENTE CIERRE",'Semana 1'!$S64+0.021," - ")))))</f>
        <v> - </v>
      </c>
      <c r="U64" s="24"/>
      <c r="V64" s="24" t="str">
        <f t="shared" si="80"/>
        <v/>
      </c>
      <c r="W64" s="24"/>
      <c r="X64" s="24"/>
      <c r="Y64" s="25" t="str">
        <f t="shared" si="81"/>
        <v>0.0</v>
      </c>
      <c r="Z64" s="25" t="str">
        <f t="shared" ref="Z64:AC64" si="90">$P64</f>
        <v>-1.0</v>
      </c>
      <c r="AA64" s="25" t="str">
        <f t="shared" si="90"/>
        <v>-1.0</v>
      </c>
      <c r="AB64" s="25" t="str">
        <f t="shared" si="90"/>
        <v>-1.0</v>
      </c>
      <c r="AC64" s="25" t="str">
        <f t="shared" si="90"/>
        <v>-1.0</v>
      </c>
      <c r="AD64" s="23" t="str">
        <f t="shared" si="77"/>
        <v>-5</v>
      </c>
    </row>
    <row r="65" ht="15.75" customHeight="1">
      <c r="B65" s="18">
        <v>63.0</v>
      </c>
      <c r="C65" s="18" t="s">
        <v>39</v>
      </c>
      <c r="D65" s="19"/>
      <c r="E65" s="20" t="str">
        <f>Personal!G65</f>
        <v>-</v>
      </c>
      <c r="F65" s="20"/>
      <c r="G65" s="20" t="str">
        <f>Personal!H65</f>
        <v>-</v>
      </c>
      <c r="H65" s="24"/>
      <c r="I65" s="24"/>
      <c r="J65" s="24"/>
      <c r="K65" s="24" t="str">
        <f>IF(G65="AGENTE",'Semana 1'!$J65+0.042,IF(G65="REDES",'Semana 1'!$J65+0.042,IF(G65="AGENTE RM",'Semana 1'!$J65+0.042,IF(G65="AGENTE APERTURA",'Semana 1'!$J65+0.021,IF(G65="AGENTE CIERRE",'Semana 1'!$J65+0.021," - ")))))</f>
        <v> - </v>
      </c>
      <c r="L65" s="24"/>
      <c r="M65" s="24" t="str">
        <f>IF(G65="AGENTE",'Semana 1'!$L65+0.014,IF(G65="REDES",'Semana 1'!$L65+0.014,IF(G65="AGENTE RM",'Semana 1'!$L65+0.014,IF(G65="AGENTE APERTURA",'Semana 1'!$L65+0.014,IF(G65="AGENTE CIERRE",'Semana 1'!$L65+0.014," - ")))))</f>
        <v> - </v>
      </c>
      <c r="N65" s="24"/>
      <c r="O65" s="24" t="str">
        <f>IF(G65="AGENTE",'Semana 1'!$N65+0.007,IF(G65="REDES",'Semana 1'!$N65+0.007,IF(G65="AGENTE RM",'Semana 1'!$N65+0.007,IF(G65="AGENTE APERTURA",'Semana 1'!$N65+0.007,IF(G65="AGENTE CIERRE",'Semana 1'!$N65+0.007," - ")))))</f>
        <v> - </v>
      </c>
      <c r="P65" s="25" t="str">
        <f t="shared" si="75"/>
        <v>-1.0</v>
      </c>
      <c r="Q65" s="24"/>
      <c r="R65" s="24"/>
      <c r="S65" s="24"/>
      <c r="T65" s="24" t="str">
        <f>IF(G65="AGENTE",'Semana 1'!$S65+0.042,IF(G65="REDES",'Semana 1'!$S65+0.042,IF(G65="AGENTE RM",'Semana 1'!$S65+0.042,IF(G65="AGENTE APERTURA",'Semana 1'!$S65+0.021,IF(G65="AGENTE CIERRE",'Semana 1'!$S65+0.021," - ")))))</f>
        <v> - </v>
      </c>
      <c r="U65" s="24"/>
      <c r="V65" s="24"/>
      <c r="W65" s="24"/>
      <c r="X65" s="24"/>
      <c r="Y65" s="25" t="str">
        <f t="shared" si="81"/>
        <v>0.0</v>
      </c>
      <c r="Z65" s="25" t="str">
        <f t="shared" ref="Z65:AC65" si="91">$P65</f>
        <v>-1.0</v>
      </c>
      <c r="AA65" s="25" t="str">
        <f t="shared" si="91"/>
        <v>-1.0</v>
      </c>
      <c r="AB65" s="25" t="str">
        <f t="shared" si="91"/>
        <v>-1.0</v>
      </c>
      <c r="AC65" s="25" t="str">
        <f t="shared" si="91"/>
        <v>-1.0</v>
      </c>
      <c r="AD65" s="27" t="str">
        <f t="shared" si="77"/>
        <v>-5</v>
      </c>
    </row>
    <row r="66" ht="15.75" customHeight="1">
      <c r="B66" s="18">
        <v>64.0</v>
      </c>
      <c r="C66" s="18" t="s">
        <v>39</v>
      </c>
      <c r="D66" s="19"/>
      <c r="E66" s="20" t="str">
        <f>Personal!G66</f>
        <v>-</v>
      </c>
      <c r="F66" s="20"/>
      <c r="G66" s="20" t="str">
        <f>Personal!H66</f>
        <v>-</v>
      </c>
      <c r="H66" s="24"/>
      <c r="I66" s="24"/>
      <c r="J66" s="24"/>
      <c r="K66" s="24" t="str">
        <f>IF(G66="AGENTE",'Semana 1'!$J66+0.042,IF(G66="REDES",'Semana 1'!$J66+0.042,IF(G66="AGENTE RM",'Semana 1'!$J66+0.042,IF(G66="AGENTE APERTURA",'Semana 1'!$J66+0.021,IF(G66="AGENTE CIERRE",'Semana 1'!$J66+0.021," - ")))))</f>
        <v> - </v>
      </c>
      <c r="L66" s="24"/>
      <c r="M66" s="24" t="str">
        <f>IF(G66="AGENTE",'Semana 1'!$L66+0.014,IF(G66="REDES",'Semana 1'!$L66+0.014,IF(G66="AGENTE RM",'Semana 1'!$L66+0.014,IF(G66="AGENTE APERTURA",'Semana 1'!$L66+0.014,IF(G66="AGENTE CIERRE",'Semana 1'!$L66+0.014," - ")))))</f>
        <v> - </v>
      </c>
      <c r="N66" s="24"/>
      <c r="O66" s="24" t="str">
        <f>IF(G66="AGENTE",'Semana 1'!$N66+0.007,IF(G66="REDES",'Semana 1'!$N66+0.007,IF(G66="AGENTE RM",'Semana 1'!$N66+0.007,IF(G66="AGENTE APERTURA",'Semana 1'!$N66+0.007,IF(G66="AGENTE CIERRE",'Semana 1'!$N66+0.007," - ")))))</f>
        <v> - </v>
      </c>
      <c r="P66" s="25" t="str">
        <f t="shared" si="75"/>
        <v>-1.0</v>
      </c>
      <c r="Q66" s="24"/>
      <c r="R66" s="24"/>
      <c r="S66" s="24"/>
      <c r="T66" s="24" t="str">
        <f>IF(G66="AGENTE",'Semana 1'!$S66+0.042,IF(G66="REDES",'Semana 1'!$S66+0.042,IF(G66="AGENTE RM",'Semana 1'!$S66+0.042,IF(G66="AGENTE APERTURA",'Semana 1'!$S66+0.021,IF(G66="AGENTE CIERRE",'Semana 1'!$S66+0.021," - ")))))</f>
        <v> - </v>
      </c>
      <c r="U66" s="24"/>
      <c r="V66" s="24"/>
      <c r="W66" s="24"/>
      <c r="X66" s="24"/>
      <c r="Y66" s="25" t="str">
        <f t="shared" si="81"/>
        <v>0.0</v>
      </c>
      <c r="Z66" s="25" t="str">
        <f t="shared" ref="Z66:AC66" si="92">$P66</f>
        <v>-1.0</v>
      </c>
      <c r="AA66" s="25" t="str">
        <f t="shared" si="92"/>
        <v>-1.0</v>
      </c>
      <c r="AB66" s="25" t="str">
        <f t="shared" si="92"/>
        <v>-1.0</v>
      </c>
      <c r="AC66" s="25" t="str">
        <f t="shared" si="92"/>
        <v>-1.0</v>
      </c>
      <c r="AD66" s="23" t="str">
        <f t="shared" si="77"/>
        <v>-5</v>
      </c>
    </row>
    <row r="67" ht="15.75" customHeight="1">
      <c r="B67" s="18">
        <v>65.0</v>
      </c>
      <c r="C67" s="18" t="s">
        <v>38</v>
      </c>
      <c r="D67" s="19"/>
      <c r="E67" s="20" t="str">
        <f>Personal!G67</f>
        <v>Selvin Manolo Rajpop Ajuchan</v>
      </c>
      <c r="F67" s="20"/>
      <c r="G67" s="20" t="str">
        <f>Personal!H67</f>
        <v>AGENTE</v>
      </c>
      <c r="H67" s="24">
        <v>0.3333333333333333</v>
      </c>
      <c r="I67" s="24" t="str">
        <f>IF(H67=0," ",IF(Q67=0,(H67+0.417),(H67+0.3756)))</f>
        <v>17:00</v>
      </c>
      <c r="J67" s="24">
        <v>0.5416666666666666</v>
      </c>
      <c r="K67" s="24" t="str">
        <f>IF(G67="AGENTE",'Semana 1'!$J67+0.042,IF(G67="REDES",'Semana 1'!$J67+0.042,IF(G67="AGENTE RM",'Semana 1'!$J67+0.042,IF(G67="AGENTE APERTURA",'Semana 1'!$J67+0.021,IF(G67="AGENTE CIERRE",'Semana 1'!$J67+0.021," - ")))))</f>
        <v>14:00</v>
      </c>
      <c r="L67" s="24">
        <v>0.3854166666666667</v>
      </c>
      <c r="M67" s="24" t="str">
        <f>IF(G67="AGENTE",'Semana 1'!$L67+0.014,IF(G67="REDES",'Semana 1'!$L67+0.014,IF(G67="AGENTE RM",'Semana 1'!$L67+0.014,IF(G67="AGENTE APERTURA",'Semana 1'!$L67+0.014,IF(G67="AGENTE CIERRE",'Semana 1'!$L67+0.014," - ")))))</f>
        <v>9:35</v>
      </c>
      <c r="N67" s="24">
        <v>0.6979166666666666</v>
      </c>
      <c r="O67" s="24" t="str">
        <f>IF(G67="AGENTE",'Semana 1'!$N67+0.007,IF(G67="REDES",'Semana 1'!$N67+0.007,IF(G67="AGENTE RM",'Semana 1'!$N67+0.007,IF(G67="AGENTE APERTURA",'Semana 1'!$N67+0.007,IF(G67="AGENTE CIERRE",'Semana 1'!$N67+0.007," - ")))))</f>
        <v>16:55</v>
      </c>
      <c r="P67" s="25" t="str">
        <f t="shared" si="75"/>
        <v>8.0</v>
      </c>
      <c r="Q67" s="24">
        <v>0.3541666666666667</v>
      </c>
      <c r="R67" s="24" t="str">
        <f>IF(Q67=0,"",Q67+0.209)</f>
        <v>13:30</v>
      </c>
      <c r="S67" s="24"/>
      <c r="T67" s="24"/>
      <c r="U67" s="24">
        <v>0.3541666666666667</v>
      </c>
      <c r="V67" s="24" t="str">
        <f>IF(U67=0,"",U67+0.021)</f>
        <v>9:00</v>
      </c>
      <c r="W67" s="24"/>
      <c r="X67" s="24"/>
      <c r="Y67" s="25" t="str">
        <f t="shared" si="81"/>
        <v>5.0</v>
      </c>
      <c r="Z67" s="25" t="str">
        <f t="shared" ref="Z67:AC67" si="93">$P67</f>
        <v>8.0</v>
      </c>
      <c r="AA67" s="25" t="str">
        <f t="shared" si="93"/>
        <v>8.0</v>
      </c>
      <c r="AB67" s="25" t="str">
        <f t="shared" si="93"/>
        <v>8.0</v>
      </c>
      <c r="AC67" s="25" t="str">
        <f t="shared" si="93"/>
        <v>8.0</v>
      </c>
      <c r="AD67" s="27" t="str">
        <f t="shared" si="77"/>
        <v>45</v>
      </c>
    </row>
    <row r="68" ht="15.75" customHeight="1">
      <c r="B68" s="18">
        <v>66.0</v>
      </c>
      <c r="C68" s="18" t="s">
        <v>38</v>
      </c>
      <c r="D68" s="19"/>
      <c r="E68" s="20" t="str">
        <f>Personal!G68</f>
        <v>Abner Alexander Curruchich Diaz</v>
      </c>
      <c r="F68" s="20"/>
      <c r="G68" s="20" t="str">
        <f>Personal!H68</f>
        <v>AGENTE</v>
      </c>
      <c r="H68" s="24">
        <v>0.6666666666666666</v>
      </c>
      <c r="I68" s="24">
        <v>0.9583333333333334</v>
      </c>
      <c r="J68" s="24">
        <v>0.875</v>
      </c>
      <c r="K68" s="24">
        <v>0.8958333333333334</v>
      </c>
      <c r="L68" s="24">
        <v>0.8958333333333334</v>
      </c>
      <c r="M68" s="24" t="str">
        <f>IF(G68="AGENTE",'Semana 1'!$L68+0.014,IF(G68="REDES",'Semana 1'!$L68+0.014,IF(G68="AGENTE RM",'Semana 1'!$L68+0.014,IF(G68="AGENTE APERTURA",'Semana 1'!$L68+0.014,IF(G68="AGENTE CIERRE",'Semana 1'!$L68+0.014," - ")))))</f>
        <v>21:50</v>
      </c>
      <c r="N68" s="24">
        <v>0.9097222222222222</v>
      </c>
      <c r="O68" s="24" t="str">
        <f>IF(G68="AGENTE",'Semana 1'!$N68+0.007,IF(G68="REDES",'Semana 1'!$N68+0.007,IF(G68="AGENTE RM",'Semana 1'!$N68+0.007,IF(G68="AGENTE APERTURA",'Semana 1'!$N68+0.007,IF(G68="AGENTE CIERRE",'Semana 1'!$N68+0.007," - ")))))</f>
        <v>22:00</v>
      </c>
      <c r="P68" s="25" t="str">
        <f t="shared" si="75"/>
        <v>6.0</v>
      </c>
      <c r="Q68" s="24">
        <v>0.6666666666666666</v>
      </c>
      <c r="R68" s="24">
        <v>0.9583333333333334</v>
      </c>
      <c r="S68" s="24">
        <v>0.875</v>
      </c>
      <c r="T68" s="24">
        <v>0.8958333333333334</v>
      </c>
      <c r="U68" s="24">
        <v>0.8958333333333334</v>
      </c>
      <c r="V68" s="24">
        <v>0.9098333333333334</v>
      </c>
      <c r="W68" s="24">
        <v>0.9097222222222222</v>
      </c>
      <c r="X68" s="24">
        <v>0.9167222222222222</v>
      </c>
      <c r="Y68" s="25" t="str">
        <f>(IFERROR(R68-Q68,0)*24)-1</f>
        <v>6.0</v>
      </c>
      <c r="Z68" s="25" t="str">
        <f t="shared" ref="Z68:AC68" si="94">$P68</f>
        <v>6.0</v>
      </c>
      <c r="AA68" s="25" t="str">
        <f t="shared" si="94"/>
        <v>6.0</v>
      </c>
      <c r="AB68" s="25" t="str">
        <f t="shared" si="94"/>
        <v>6.0</v>
      </c>
      <c r="AC68" s="25" t="str">
        <f t="shared" si="94"/>
        <v>6.0</v>
      </c>
      <c r="AD68" s="23" t="str">
        <f t="shared" si="77"/>
        <v>36</v>
      </c>
    </row>
    <row r="69" ht="15.75" customHeight="1">
      <c r="B69" s="18">
        <v>67.0</v>
      </c>
      <c r="C69" s="18" t="s">
        <v>38</v>
      </c>
      <c r="D69" s="19"/>
      <c r="E69" s="20" t="str">
        <f>Personal!G69</f>
        <v>Cindi Yorleni Godinez Siles de Eguizabal</v>
      </c>
      <c r="F69" s="20"/>
      <c r="G69" s="20" t="str">
        <f>Personal!H69</f>
        <v>AGENTE</v>
      </c>
      <c r="H69" s="24">
        <v>0.4166666666666667</v>
      </c>
      <c r="I69" s="24" t="str">
        <f t="shared" ref="I69:I74" si="96">IF(H69=0," ",IF(Q69=0,(H69+0.417),(H69+0.3756)))</f>
        <v>19:00</v>
      </c>
      <c r="J69" s="24">
        <v>0.625</v>
      </c>
      <c r="K69" s="24" t="str">
        <f>IF(G69="AGENTE",'Semana 1'!$J69+0.042,IF(G69="REDES",'Semana 1'!$J69+0.042,IF(G69="AGENTE RM",'Semana 1'!$J69+0.042,IF(G69="AGENTE APERTURA",'Semana 1'!$J69+0.021,IF(G69="AGENTE CIERRE",'Semana 1'!$J69+0.021," - ")))))</f>
        <v>16:00</v>
      </c>
      <c r="L69" s="24">
        <v>0.46875</v>
      </c>
      <c r="M69" s="24" t="str">
        <f>IF(G69="AGENTE",'Semana 1'!$L69+0.014,IF(G69="REDES",'Semana 1'!$L69+0.014,IF(G69="AGENTE RM",'Semana 1'!$L69+0.014,IF(G69="AGENTE APERTURA",'Semana 1'!$L69+0.014,IF(G69="AGENTE CIERRE",'Semana 1'!$L69+0.014," - ")))))</f>
        <v>11:35</v>
      </c>
      <c r="N69" s="24">
        <v>0.6875</v>
      </c>
      <c r="O69" s="24" t="str">
        <f>IF(G69="AGENTE",'Semana 1'!$N69+0.007,IF(G69="REDES",'Semana 1'!$N69+0.007,IF(G69="AGENTE RM",'Semana 1'!$N69+0.007,IF(G69="AGENTE APERTURA",'Semana 1'!$N69+0.007,IF(G69="AGENTE CIERRE",'Semana 1'!$N69+0.007," - ")))))</f>
        <v>16:40</v>
      </c>
      <c r="P69" s="25" t="str">
        <f t="shared" si="75"/>
        <v>8.0</v>
      </c>
      <c r="Q69" s="24">
        <v>0.4583333333333333</v>
      </c>
      <c r="R69" s="24" t="str">
        <f t="shared" ref="R69:R74" si="97">IF(Q69=0,"",Q69+0.209)</f>
        <v>16:00</v>
      </c>
      <c r="S69" s="24"/>
      <c r="T69" s="24"/>
      <c r="U69" s="24">
        <v>0.5416666666666666</v>
      </c>
      <c r="V69" s="24" t="str">
        <f t="shared" ref="V69:V74" si="98">IF(U69=0,"",U69+0.021)</f>
        <v>13:30</v>
      </c>
      <c r="W69" s="24"/>
      <c r="X69" s="24"/>
      <c r="Y69" s="25" t="str">
        <f t="shared" ref="Y69:Y79" si="99">(IFERROR(R69-Q69,0)*24)</f>
        <v>5.0</v>
      </c>
      <c r="Z69" s="25" t="str">
        <f t="shared" ref="Z69:AC69" si="95">$P69</f>
        <v>8.0</v>
      </c>
      <c r="AA69" s="25" t="str">
        <f t="shared" si="95"/>
        <v>8.0</v>
      </c>
      <c r="AB69" s="25" t="str">
        <f t="shared" si="95"/>
        <v>8.0</v>
      </c>
      <c r="AC69" s="25" t="str">
        <f t="shared" si="95"/>
        <v>8.0</v>
      </c>
      <c r="AD69" s="27" t="str">
        <f t="shared" si="77"/>
        <v>45</v>
      </c>
    </row>
    <row r="70" ht="15.75" customHeight="1">
      <c r="B70" s="18">
        <v>68.0</v>
      </c>
      <c r="C70" s="18" t="s">
        <v>38</v>
      </c>
      <c r="D70" s="19"/>
      <c r="E70" s="20" t="str">
        <f>Personal!G70</f>
        <v>Lleny Yolanda Asetun Jeronimo de Mateo</v>
      </c>
      <c r="F70" s="20"/>
      <c r="G70" s="20" t="str">
        <f>Personal!H70</f>
        <v>AGENTE</v>
      </c>
      <c r="H70" s="24">
        <v>0.3333333333333333</v>
      </c>
      <c r="I70" s="24" t="str">
        <f t="shared" si="96"/>
        <v>17:00</v>
      </c>
      <c r="J70" s="24">
        <v>0.5416666666666666</v>
      </c>
      <c r="K70" s="24" t="str">
        <f>IF(G70="AGENTE",'Semana 1'!$J70+0.042,IF(G70="REDES",'Semana 1'!$J70+0.042,IF(G70="AGENTE RM",'Semana 1'!$J70+0.042,IF(G70="AGENTE APERTURA",'Semana 1'!$J70+0.021,IF(G70="AGENTE CIERRE",'Semana 1'!$J70+0.021," - ")))))</f>
        <v>14:00</v>
      </c>
      <c r="L70" s="24">
        <v>0.3958333333333333</v>
      </c>
      <c r="M70" s="24" t="str">
        <f>IF(G70="AGENTE",'Semana 1'!$L70+0.014,IF(G70="REDES",'Semana 1'!$L70+0.014,IF(G70="AGENTE RM",'Semana 1'!$L70+0.014,IF(G70="AGENTE APERTURA",'Semana 1'!$L70+0.014,IF(G70="AGENTE CIERRE",'Semana 1'!$L70+0.014," - ")))))</f>
        <v>9:50</v>
      </c>
      <c r="N70" s="24">
        <v>0.6770833333333334</v>
      </c>
      <c r="O70" s="24" t="str">
        <f>IF(G70="AGENTE",'Semana 1'!$N70+0.007,IF(G70="REDES",'Semana 1'!$N70+0.007,IF(G70="AGENTE RM",'Semana 1'!$N70+0.007,IF(G70="AGENTE APERTURA",'Semana 1'!$N70+0.007,IF(G70="AGENTE CIERRE",'Semana 1'!$N70+0.007," - ")))))</f>
        <v>16:25</v>
      </c>
      <c r="P70" s="25" t="str">
        <f t="shared" si="75"/>
        <v>8.0</v>
      </c>
      <c r="Q70" s="24">
        <v>0.5416666666666666</v>
      </c>
      <c r="R70" s="24" t="str">
        <f t="shared" si="97"/>
        <v>18:00</v>
      </c>
      <c r="S70" s="24"/>
      <c r="T70" s="24"/>
      <c r="U70" s="24">
        <v>0.6458333333333334</v>
      </c>
      <c r="V70" s="24" t="str">
        <f t="shared" si="98"/>
        <v>16:00</v>
      </c>
      <c r="W70" s="24"/>
      <c r="X70" s="24"/>
      <c r="Y70" s="25" t="str">
        <f t="shared" si="99"/>
        <v>5.0</v>
      </c>
      <c r="Z70" s="25" t="str">
        <f t="shared" ref="Z70:AC70" si="100">$P70</f>
        <v>8.0</v>
      </c>
      <c r="AA70" s="25" t="str">
        <f t="shared" si="100"/>
        <v>8.0</v>
      </c>
      <c r="AB70" s="25" t="str">
        <f t="shared" si="100"/>
        <v>8.0</v>
      </c>
      <c r="AC70" s="25" t="str">
        <f t="shared" si="100"/>
        <v>8.0</v>
      </c>
      <c r="AD70" s="23" t="str">
        <f t="shared" si="77"/>
        <v>45</v>
      </c>
    </row>
    <row r="71" ht="15.75" customHeight="1">
      <c r="B71" s="18">
        <v>69.0</v>
      </c>
      <c r="C71" s="18" t="s">
        <v>38</v>
      </c>
      <c r="D71" s="19"/>
      <c r="E71" s="20" t="str">
        <f>Personal!G71</f>
        <v>Ruth Nohemi Rosales Perez</v>
      </c>
      <c r="F71" s="20"/>
      <c r="G71" s="20" t="str">
        <f>Personal!H71</f>
        <v>AGENTE</v>
      </c>
      <c r="H71" s="24">
        <v>0.2916666666666667</v>
      </c>
      <c r="I71" s="24" t="str">
        <f t="shared" si="96"/>
        <v>16:00</v>
      </c>
      <c r="J71" s="24">
        <v>0.5</v>
      </c>
      <c r="K71" s="24" t="str">
        <f>IF(G71="AGENTE",'Semana 1'!$J71+0.042,IF(G71="REDES",'Semana 1'!$J71+0.042,IF(G71="AGENTE RM",'Semana 1'!$J71+0.042,IF(G71="AGENTE APERTURA",'Semana 1'!$J71+0.021,IF(G71="AGENTE CIERRE",'Semana 1'!$J71+0.021," - ")))))</f>
        <v>13:00</v>
      </c>
      <c r="L71" s="24">
        <v>0.3645833333333333</v>
      </c>
      <c r="M71" s="24" t="str">
        <f>IF(G71="AGENTE",'Semana 1'!$L71+0.014,IF(G71="REDES",'Semana 1'!$L71+0.014,IF(G71="AGENTE RM",'Semana 1'!$L71+0.014,IF(G71="AGENTE APERTURA",'Semana 1'!$L71+0.014,IF(G71="AGENTE CIERRE",'Semana 1'!$L71+0.014," - ")))))</f>
        <v>9:05</v>
      </c>
      <c r="N71" s="24">
        <v>0.6458333333333334</v>
      </c>
      <c r="O71" s="24" t="str">
        <f>IF(G71="AGENTE",'Semana 1'!$N71+0.007,IF(G71="REDES",'Semana 1'!$N71+0.007,IF(G71="AGENTE RM",'Semana 1'!$N71+0.007,IF(G71="AGENTE APERTURA",'Semana 1'!$N71+0.007,IF(G71="AGENTE CIERRE",'Semana 1'!$N71+0.007," - ")))))</f>
        <v>15:40</v>
      </c>
      <c r="P71" s="25" t="str">
        <f t="shared" si="75"/>
        <v>8.0</v>
      </c>
      <c r="Q71" s="24">
        <v>0.4583333333333333</v>
      </c>
      <c r="R71" s="24" t="str">
        <f t="shared" si="97"/>
        <v>16:00</v>
      </c>
      <c r="S71" s="24"/>
      <c r="T71" s="24"/>
      <c r="U71" s="24">
        <v>0.5</v>
      </c>
      <c r="V71" s="24" t="str">
        <f t="shared" si="98"/>
        <v>12:30</v>
      </c>
      <c r="W71" s="24"/>
      <c r="X71" s="24"/>
      <c r="Y71" s="25" t="str">
        <f t="shared" si="99"/>
        <v>5.0</v>
      </c>
      <c r="Z71" s="25" t="str">
        <f t="shared" ref="Z71:AC71" si="101">$P71</f>
        <v>8.0</v>
      </c>
      <c r="AA71" s="25" t="str">
        <f t="shared" si="101"/>
        <v>8.0</v>
      </c>
      <c r="AB71" s="25" t="str">
        <f t="shared" si="101"/>
        <v>8.0</v>
      </c>
      <c r="AC71" s="25" t="str">
        <f t="shared" si="101"/>
        <v>8.0</v>
      </c>
      <c r="AD71" s="27" t="str">
        <f t="shared" si="77"/>
        <v>45</v>
      </c>
    </row>
    <row r="72" ht="15.75" customHeight="1">
      <c r="B72" s="18">
        <v>70.0</v>
      </c>
      <c r="C72" s="18" t="s">
        <v>38</v>
      </c>
      <c r="D72" s="19"/>
      <c r="E72" s="20" t="str">
        <f>Personal!G72</f>
        <v>Erick Alejandro Avea Rivera</v>
      </c>
      <c r="F72" s="20"/>
      <c r="G72" s="20" t="str">
        <f>Personal!H72</f>
        <v>AGENTE</v>
      </c>
      <c r="H72" s="24">
        <v>0.4166666666666667</v>
      </c>
      <c r="I72" s="24" t="str">
        <f t="shared" si="96"/>
        <v>19:00</v>
      </c>
      <c r="J72" s="24">
        <v>0.625</v>
      </c>
      <c r="K72" s="24" t="str">
        <f>IF(G72="AGENTE",'Semana 1'!$J72+0.042,IF(G72="REDES",'Semana 1'!$J72+0.042,IF(G72="AGENTE RM",'Semana 1'!$J72+0.042,IF(G72="AGENTE APERTURA",'Semana 1'!$J72+0.021,IF(G72="AGENTE CIERRE",'Semana 1'!$J72+0.021," - ")))))</f>
        <v>16:00</v>
      </c>
      <c r="L72" s="24">
        <v>0.4791666666666667</v>
      </c>
      <c r="M72" s="24" t="str">
        <f>IF(G72="AGENTE",'Semana 1'!$L72+0.014,IF(G72="REDES",'Semana 1'!$L72+0.014,IF(G72="AGENTE RM",'Semana 1'!$L72+0.014,IF(G72="AGENTE APERTURA",'Semana 1'!$L72+0.014,IF(G72="AGENTE CIERRE",'Semana 1'!$L72+0.014," - ")))))</f>
        <v>11:50</v>
      </c>
      <c r="N72" s="24">
        <v>0.6979166666666666</v>
      </c>
      <c r="O72" s="24" t="str">
        <f>IF(G72="AGENTE",'Semana 1'!$N72+0.007,IF(G72="REDES",'Semana 1'!$N72+0.007,IF(G72="AGENTE RM",'Semana 1'!$N72+0.007,IF(G72="AGENTE APERTURA",'Semana 1'!$N72+0.007,IF(G72="AGENTE CIERRE",'Semana 1'!$N72+0.007," - ")))))</f>
        <v>16:55</v>
      </c>
      <c r="P72" s="25" t="str">
        <f t="shared" si="75"/>
        <v>8.0</v>
      </c>
      <c r="Q72" s="24">
        <v>0.5</v>
      </c>
      <c r="R72" s="24" t="str">
        <f t="shared" si="97"/>
        <v>17:00</v>
      </c>
      <c r="S72" s="24"/>
      <c r="T72" s="24"/>
      <c r="U72" s="24">
        <v>0.5833333333333334</v>
      </c>
      <c r="V72" s="24" t="str">
        <f t="shared" si="98"/>
        <v>14:30</v>
      </c>
      <c r="W72" s="24"/>
      <c r="X72" s="24"/>
      <c r="Y72" s="25" t="str">
        <f t="shared" si="99"/>
        <v>5.0</v>
      </c>
      <c r="Z72" s="25" t="str">
        <f t="shared" ref="Z72:AC72" si="102">$P72</f>
        <v>8.0</v>
      </c>
      <c r="AA72" s="25" t="str">
        <f t="shared" si="102"/>
        <v>8.0</v>
      </c>
      <c r="AB72" s="25" t="str">
        <f t="shared" si="102"/>
        <v>8.0</v>
      </c>
      <c r="AC72" s="25" t="str">
        <f t="shared" si="102"/>
        <v>8.0</v>
      </c>
      <c r="AD72" s="23" t="str">
        <f t="shared" si="77"/>
        <v>45</v>
      </c>
    </row>
    <row r="73" ht="15.75" customHeight="1">
      <c r="B73" s="18">
        <v>71.0</v>
      </c>
      <c r="C73" s="18" t="s">
        <v>38</v>
      </c>
      <c r="D73" s="19"/>
      <c r="E73" s="20" t="str">
        <f>Personal!G73</f>
        <v>Johanna Elizabeth Rodriguez Bustamante</v>
      </c>
      <c r="F73" s="20"/>
      <c r="G73" s="20" t="str">
        <f>Personal!H73</f>
        <v>AGENTE</v>
      </c>
      <c r="H73" s="24">
        <v>0.3333333333333333</v>
      </c>
      <c r="I73" s="24" t="str">
        <f t="shared" si="96"/>
        <v>17:00</v>
      </c>
      <c r="J73" s="24">
        <v>0.5416666666666666</v>
      </c>
      <c r="K73" s="24" t="str">
        <f>IF(G73="AGENTE",'Semana 1'!$J73+0.042,IF(G73="REDES",'Semana 1'!$J73+0.042,IF(G73="AGENTE RM",'Semana 1'!$J73+0.042,IF(G73="AGENTE APERTURA",'Semana 1'!$J73+0.021,IF(G73="AGENTE CIERRE",'Semana 1'!$J73+0.021," - ")))))</f>
        <v>14:00</v>
      </c>
      <c r="L73" s="24">
        <v>0.40625</v>
      </c>
      <c r="M73" s="24" t="str">
        <f>IF(G73="AGENTE",'Semana 1'!$L73+0.014,IF(G73="REDES",'Semana 1'!$L73+0.014,IF(G73="AGENTE RM",'Semana 1'!$L73+0.014,IF(G73="AGENTE APERTURA",'Semana 1'!$L73+0.014,IF(G73="AGENTE CIERRE",'Semana 1'!$L73+0.014," - ")))))</f>
        <v>10:05</v>
      </c>
      <c r="N73" s="24">
        <v>0.6770833333333334</v>
      </c>
      <c r="O73" s="24" t="str">
        <f>IF(G73="AGENTE",'Semana 1'!$N73+0.007,IF(G73="REDES",'Semana 1'!$N73+0.007,IF(G73="AGENTE RM",'Semana 1'!$N73+0.007,IF(G73="AGENTE APERTURA",'Semana 1'!$N73+0.007,IF(G73="AGENTE CIERRE",'Semana 1'!$N73+0.007," - ")))))</f>
        <v>16:25</v>
      </c>
      <c r="P73" s="25" t="str">
        <f t="shared" si="75"/>
        <v>8.0</v>
      </c>
      <c r="Q73" s="24">
        <v>0.5416666666666666</v>
      </c>
      <c r="R73" s="24" t="str">
        <f t="shared" si="97"/>
        <v>18:00</v>
      </c>
      <c r="S73" s="24"/>
      <c r="T73" s="24"/>
      <c r="U73" s="24">
        <v>0.625</v>
      </c>
      <c r="V73" s="24" t="str">
        <f t="shared" si="98"/>
        <v>15:30</v>
      </c>
      <c r="W73" s="24"/>
      <c r="X73" s="24"/>
      <c r="Y73" s="25" t="str">
        <f t="shared" si="99"/>
        <v>5.0</v>
      </c>
      <c r="Z73" s="25" t="str">
        <f t="shared" ref="Z73:AC73" si="103">$P73</f>
        <v>8.0</v>
      </c>
      <c r="AA73" s="25" t="str">
        <f t="shared" si="103"/>
        <v>8.0</v>
      </c>
      <c r="AB73" s="25" t="str">
        <f t="shared" si="103"/>
        <v>8.0</v>
      </c>
      <c r="AC73" s="25" t="str">
        <f t="shared" si="103"/>
        <v>8.0</v>
      </c>
      <c r="AD73" s="27" t="str">
        <f t="shared" si="77"/>
        <v>45</v>
      </c>
    </row>
    <row r="74" ht="15.75" customHeight="1">
      <c r="B74" s="18">
        <v>72.0</v>
      </c>
      <c r="C74" s="18" t="s">
        <v>38</v>
      </c>
      <c r="D74" s="19"/>
      <c r="E74" s="20" t="str">
        <f>Personal!G74</f>
        <v>Rosbin Omar Salazar Pacay</v>
      </c>
      <c r="F74" s="20"/>
      <c r="G74" s="20" t="str">
        <f>Personal!H74</f>
        <v>AGENTE</v>
      </c>
      <c r="H74" s="24">
        <v>0.3333333333333333</v>
      </c>
      <c r="I74" s="24" t="str">
        <f t="shared" si="96"/>
        <v>17:00</v>
      </c>
      <c r="J74" s="24">
        <v>0.5833333333333334</v>
      </c>
      <c r="K74" s="24" t="str">
        <f>IF(G74="AGENTE",'Semana 1'!$J74+0.042,IF(G74="REDES",'Semana 1'!$J74+0.042,IF(G74="AGENTE RM",'Semana 1'!$J74+0.042,IF(G74="AGENTE APERTURA",'Semana 1'!$J74+0.021,IF(G74="AGENTE CIERRE",'Semana 1'!$J74+0.021," - ")))))</f>
        <v>15:00</v>
      </c>
      <c r="L74" s="24">
        <v>0.3958333333333333</v>
      </c>
      <c r="M74" s="24" t="str">
        <f>IF(G74="AGENTE",'Semana 1'!$L74+0.014,IF(G74="REDES",'Semana 1'!$L74+0.014,IF(G74="AGENTE RM",'Semana 1'!$L74+0.014,IF(G74="AGENTE APERTURA",'Semana 1'!$L74+0.014,IF(G74="AGENTE CIERRE",'Semana 1'!$L74+0.014," - ")))))</f>
        <v>9:50</v>
      </c>
      <c r="N74" s="24">
        <v>0.6666666666666666</v>
      </c>
      <c r="O74" s="24" t="str">
        <f>IF(G74="AGENTE",'Semana 1'!$N74+0.007,IF(G74="REDES",'Semana 1'!$N74+0.007,IF(G74="AGENTE RM",'Semana 1'!$N74+0.007,IF(G74="AGENTE APERTURA",'Semana 1'!$N74+0.007,IF(G74="AGENTE CIERRE",'Semana 1'!$N74+0.007," - ")))))</f>
        <v>16:10</v>
      </c>
      <c r="P74" s="25" t="str">
        <f t="shared" si="75"/>
        <v>8.0</v>
      </c>
      <c r="Q74" s="24">
        <v>0.5416666666666666</v>
      </c>
      <c r="R74" s="24" t="str">
        <f t="shared" si="97"/>
        <v>18:00</v>
      </c>
      <c r="S74" s="24"/>
      <c r="T74" s="24"/>
      <c r="U74" s="24">
        <v>0.6041666666666666</v>
      </c>
      <c r="V74" s="24" t="str">
        <f t="shared" si="98"/>
        <v>15:00</v>
      </c>
      <c r="W74" s="24"/>
      <c r="X74" s="24"/>
      <c r="Y74" s="25" t="str">
        <f t="shared" si="99"/>
        <v>5.0</v>
      </c>
      <c r="Z74" s="25" t="str">
        <f t="shared" ref="Z74:AC74" si="104">$P74</f>
        <v>8.0</v>
      </c>
      <c r="AA74" s="25" t="str">
        <f t="shared" si="104"/>
        <v>8.0</v>
      </c>
      <c r="AB74" s="25" t="str">
        <f t="shared" si="104"/>
        <v>8.0</v>
      </c>
      <c r="AC74" s="25" t="str">
        <f t="shared" si="104"/>
        <v>8.0</v>
      </c>
      <c r="AD74" s="23" t="str">
        <f t="shared" si="77"/>
        <v>45</v>
      </c>
    </row>
    <row r="75" ht="15.75" customHeight="1">
      <c r="B75" s="18">
        <v>73.0</v>
      </c>
      <c r="C75" s="18" t="s">
        <v>38</v>
      </c>
      <c r="D75" s="19"/>
      <c r="E75" s="20" t="str">
        <f>Personal!G75</f>
        <v>-</v>
      </c>
      <c r="F75" s="20"/>
      <c r="G75" s="20" t="s">
        <v>41</v>
      </c>
      <c r="H75" s="24"/>
      <c r="I75" s="24"/>
      <c r="J75" s="24"/>
      <c r="K75" s="24" t="str">
        <f>IF(G75="AGENTE",'Semana 1'!$J75+0.042,IF(G75="REDES",'Semana 1'!$J75+0.042,IF(G75="AGENTE RM",'Semana 1'!$J75+0.042,IF(G75="AGENTE APERTURA",'Semana 1'!$J75+0.021,IF(G75="AGENTE CIERRE",'Semana 1'!$J75+0.021," - ")))))</f>
        <v> - </v>
      </c>
      <c r="L75" s="24"/>
      <c r="M75" s="24" t="str">
        <f>IF(G75="AGENTE",'Semana 1'!$L75+0.014,IF(G75="REDES",'Semana 1'!$L75+0.014,IF(G75="AGENTE RM",'Semana 1'!$L75+0.014,IF(G75="AGENTE APERTURA",'Semana 1'!$L75+0.014,IF(G75="AGENTE CIERRE",'Semana 1'!$L75+0.014," - ")))))</f>
        <v> - </v>
      </c>
      <c r="N75" s="24"/>
      <c r="O75" s="24" t="str">
        <f>IF(G75="AGENTE",'Semana 1'!$N75+0.007,IF(G75="REDES",'Semana 1'!$N75+0.007,IF(G75="AGENTE RM",'Semana 1'!$N75+0.007,IF(G75="AGENTE APERTURA",'Semana 1'!$N75+0.007,IF(G75="AGENTE CIERRE",'Semana 1'!$N75+0.007," - ")))))</f>
        <v> - </v>
      </c>
      <c r="P75" s="25" t="str">
        <f t="shared" si="75"/>
        <v>-1.0</v>
      </c>
      <c r="Q75" s="24"/>
      <c r="R75" s="24"/>
      <c r="S75" s="24"/>
      <c r="T75" s="24" t="str">
        <f>IF(G75="AGENTE",'Semana 1'!$S75+0.042,IF(G75="REDES",'Semana 1'!$S75+0.042,IF(G75="AGENTE RM",'Semana 1'!$S75+0.042,IF(G75="AGENTE APERTURA",'Semana 1'!$S75+0.021,IF(G75="AGENTE CIERRE",'Semana 1'!$S75+0.021," - ")))))</f>
        <v> - </v>
      </c>
      <c r="U75" s="24"/>
      <c r="V75" s="24"/>
      <c r="W75" s="24"/>
      <c r="X75" s="24"/>
      <c r="Y75" s="25" t="str">
        <f t="shared" si="99"/>
        <v>0.0</v>
      </c>
      <c r="Z75" s="25" t="str">
        <f t="shared" ref="Z75:AC75" si="105">$P75</f>
        <v>-1.0</v>
      </c>
      <c r="AA75" s="25" t="str">
        <f t="shared" si="105"/>
        <v>-1.0</v>
      </c>
      <c r="AB75" s="25" t="str">
        <f t="shared" si="105"/>
        <v>-1.0</v>
      </c>
      <c r="AC75" s="25" t="str">
        <f t="shared" si="105"/>
        <v>-1.0</v>
      </c>
      <c r="AD75" s="27" t="str">
        <f t="shared" si="77"/>
        <v>-5</v>
      </c>
    </row>
    <row r="76" ht="15.75" customHeight="1">
      <c r="B76" s="18">
        <v>74.0</v>
      </c>
      <c r="C76" s="18" t="s">
        <v>38</v>
      </c>
      <c r="D76" s="19"/>
      <c r="E76" s="20" t="str">
        <f>Personal!G76</f>
        <v>Cristian Manuel Lopez Chavez</v>
      </c>
      <c r="F76" s="20"/>
      <c r="G76" s="20" t="str">
        <f>Personal!H76</f>
        <v>AGENTE</v>
      </c>
      <c r="H76" s="24">
        <v>0.2916666666666667</v>
      </c>
      <c r="I76" s="24" t="str">
        <f>IF(H76=0," ",IF(Q76=0,(H76+0.417),(H76+0.3756)))</f>
        <v>16:00</v>
      </c>
      <c r="J76" s="24">
        <v>0.5</v>
      </c>
      <c r="K76" s="24" t="str">
        <f>IF(G76="AGENTE",'Semana 1'!$J76+0.042,IF(G76="REDES",'Semana 1'!$J76+0.042,IF(G76="AGENTE RM",'Semana 1'!$J76+0.042,IF(G76="AGENTE APERTURA",'Semana 1'!$J76+0.021,IF(G76="AGENTE CIERRE",'Semana 1'!$J76+0.021," - ")))))</f>
        <v>13:00</v>
      </c>
      <c r="L76" s="24">
        <v>0.3645833333333333</v>
      </c>
      <c r="M76" s="24" t="str">
        <f>IF(G76="AGENTE",'Semana 1'!$L76+0.014,IF(G76="REDES",'Semana 1'!$L76+0.014,IF(G76="AGENTE RM",'Semana 1'!$L76+0.014,IF(G76="AGENTE APERTURA",'Semana 1'!$L76+0.014,IF(G76="AGENTE CIERRE",'Semana 1'!$L76+0.014," - ")))))</f>
        <v>9:05</v>
      </c>
      <c r="N76" s="24">
        <v>0.6458333333333334</v>
      </c>
      <c r="O76" s="24" t="str">
        <f>IF(G76="AGENTE",'Semana 1'!$N76+0.007,IF(G76="REDES",'Semana 1'!$N76+0.007,IF(G76="AGENTE RM",'Semana 1'!$N76+0.007,IF(G76="AGENTE APERTURA",'Semana 1'!$N76+0.007,IF(G76="AGENTE CIERRE",'Semana 1'!$N76+0.007," - ")))))</f>
        <v>15:40</v>
      </c>
      <c r="P76" s="25" t="str">
        <f t="shared" si="75"/>
        <v>8.0</v>
      </c>
      <c r="Q76" s="24">
        <v>0.5</v>
      </c>
      <c r="R76" s="24" t="str">
        <f>IF(Q76=0,"",Q76+0.209)</f>
        <v>17:00</v>
      </c>
      <c r="S76" s="24"/>
      <c r="T76" s="24"/>
      <c r="U76" s="24">
        <v>0.5</v>
      </c>
      <c r="V76" s="24" t="str">
        <f>IF(U76=0,"",U76+0.021)</f>
        <v>12:30</v>
      </c>
      <c r="W76" s="24"/>
      <c r="X76" s="24"/>
      <c r="Y76" s="25" t="str">
        <f t="shared" si="99"/>
        <v>5.0</v>
      </c>
      <c r="Z76" s="25" t="str">
        <f t="shared" ref="Z76:AC76" si="106">$P76</f>
        <v>8.0</v>
      </c>
      <c r="AA76" s="25" t="str">
        <f t="shared" si="106"/>
        <v>8.0</v>
      </c>
      <c r="AB76" s="25" t="str">
        <f t="shared" si="106"/>
        <v>8.0</v>
      </c>
      <c r="AC76" s="25" t="str">
        <f t="shared" si="106"/>
        <v>8.0</v>
      </c>
      <c r="AD76" s="23" t="str">
        <f t="shared" si="77"/>
        <v>45</v>
      </c>
    </row>
    <row r="77" ht="15.75" customHeight="1">
      <c r="B77" s="18">
        <v>75.0</v>
      </c>
      <c r="C77" s="18" t="s">
        <v>38</v>
      </c>
      <c r="D77" s="19"/>
      <c r="E77" s="20" t="str">
        <f>Personal!G77</f>
        <v>-</v>
      </c>
      <c r="F77" s="20"/>
      <c r="G77" s="20" t="s">
        <v>41</v>
      </c>
      <c r="H77" s="24"/>
      <c r="I77" s="24"/>
      <c r="J77" s="24"/>
      <c r="K77" s="24" t="str">
        <f>IF(G77="AGENTE",'Semana 1'!$J77+0.042,IF(G77="REDES",'Semana 1'!$J77+0.042,IF(G77="AGENTE RM",'Semana 1'!$J77+0.042,IF(G77="AGENTE APERTURA",'Semana 1'!$J77+0.021,IF(G77="AGENTE CIERRE",'Semana 1'!$J77+0.021," - ")))))</f>
        <v> - </v>
      </c>
      <c r="L77" s="24"/>
      <c r="M77" s="24" t="str">
        <f>IF(G77="AGENTE",'Semana 1'!$L77+0.014,IF(G77="REDES",'Semana 1'!$L77+0.014,IF(G77="AGENTE RM",'Semana 1'!$L77+0.014,IF(G77="AGENTE APERTURA",'Semana 1'!$L77+0.014,IF(G77="AGENTE CIERRE",'Semana 1'!$L77+0.014," - ")))))</f>
        <v> - </v>
      </c>
      <c r="N77" s="24"/>
      <c r="O77" s="24" t="str">
        <f>IF(G77="AGENTE",'Semana 1'!$N77+0.007,IF(G77="REDES",'Semana 1'!$N77+0.007,IF(G77="AGENTE RM",'Semana 1'!$N77+0.007,IF(G77="AGENTE APERTURA",'Semana 1'!$N77+0.007,IF(G77="AGENTE CIERRE",'Semana 1'!$N77+0.007," - ")))))</f>
        <v> - </v>
      </c>
      <c r="P77" s="25" t="str">
        <f t="shared" si="75"/>
        <v>-1.0</v>
      </c>
      <c r="Q77" s="24"/>
      <c r="R77" s="24"/>
      <c r="S77" s="24"/>
      <c r="T77" s="24" t="str">
        <f>IF(G77="AGENTE",'Semana 1'!$S77+0.042,IF(G77="REDES",'Semana 1'!$S77+0.042,IF(G77="AGENTE RM",'Semana 1'!$S77+0.042,IF(G77="AGENTE APERTURA",'Semana 1'!$S77+0.021,IF(G77="AGENTE CIERRE",'Semana 1'!$S77+0.021," - ")))))</f>
        <v> - </v>
      </c>
      <c r="U77" s="24"/>
      <c r="V77" s="24"/>
      <c r="W77" s="24"/>
      <c r="X77" s="24"/>
      <c r="Y77" s="25" t="str">
        <f t="shared" si="99"/>
        <v>0.0</v>
      </c>
      <c r="Z77" s="25" t="str">
        <f t="shared" ref="Z77:AC77" si="107">$P77</f>
        <v>-1.0</v>
      </c>
      <c r="AA77" s="25" t="str">
        <f t="shared" si="107"/>
        <v>-1.0</v>
      </c>
      <c r="AB77" s="25" t="str">
        <f t="shared" si="107"/>
        <v>-1.0</v>
      </c>
      <c r="AC77" s="25" t="str">
        <f t="shared" si="107"/>
        <v>-1.0</v>
      </c>
      <c r="AD77" s="27" t="str">
        <f t="shared" si="77"/>
        <v>-5</v>
      </c>
    </row>
    <row r="78" ht="15.75" customHeight="1">
      <c r="B78" s="18">
        <v>76.0</v>
      </c>
      <c r="C78" s="18" t="s">
        <v>38</v>
      </c>
      <c r="D78" s="19"/>
      <c r="E78" s="20" t="str">
        <f>Personal!G78</f>
        <v>Melanee Sucely Lopez Castro</v>
      </c>
      <c r="F78" s="20"/>
      <c r="G78" s="20" t="str">
        <f>Personal!H78</f>
        <v>AGENTE</v>
      </c>
      <c r="H78" s="24">
        <v>0.3125</v>
      </c>
      <c r="I78" s="24" t="str">
        <f t="shared" ref="I78:I79" si="109">IF(H78=0," ",IF(Q78=0,(H78+0.417),(H78+0.3756)))</f>
        <v>16:30</v>
      </c>
      <c r="J78" s="24">
        <v>0.5416666666666666</v>
      </c>
      <c r="K78" s="24" t="str">
        <f>IF(G78="AGENTE",'Semana 1'!$J78+0.042,IF(G78="REDES",'Semana 1'!$J78+0.042,IF(G78="AGENTE RM",'Semana 1'!$J78+0.042,IF(G78="AGENTE APERTURA",'Semana 1'!$J78+0.021,IF(G78="AGENTE CIERRE",'Semana 1'!$J78+0.021," - ")))))</f>
        <v>14:00</v>
      </c>
      <c r="L78" s="24">
        <v>0.3645833333333333</v>
      </c>
      <c r="M78" s="24" t="str">
        <f>IF(G78="AGENTE",'Semana 1'!$L78+0.014,IF(G78="REDES",'Semana 1'!$L78+0.014,IF(G78="AGENTE RM",'Semana 1'!$L78+0.014,IF(G78="AGENTE APERTURA",'Semana 1'!$L78+0.014,IF(G78="AGENTE CIERRE",'Semana 1'!$L78+0.014," - ")))))</f>
        <v>9:05</v>
      </c>
      <c r="N78" s="24">
        <v>0.625</v>
      </c>
      <c r="O78" s="24" t="str">
        <f>IF(G78="AGENTE",'Semana 1'!$N78+0.007,IF(G78="REDES",'Semana 1'!$N78+0.007,IF(G78="AGENTE RM",'Semana 1'!$N78+0.007,IF(G78="AGENTE APERTURA",'Semana 1'!$N78+0.007,IF(G78="AGENTE CIERRE",'Semana 1'!$N78+0.007," - ")))))</f>
        <v>15:10</v>
      </c>
      <c r="P78" s="25" t="str">
        <f t="shared" si="75"/>
        <v>8.0</v>
      </c>
      <c r="Q78" s="24">
        <v>0.3333333333333333</v>
      </c>
      <c r="R78" s="24" t="str">
        <f t="shared" ref="R78:R79" si="110">IF(Q78=0,"",Q78+0.209)</f>
        <v>13:00</v>
      </c>
      <c r="S78" s="24"/>
      <c r="T78" s="24"/>
      <c r="U78" s="24">
        <v>0.4166666666666667</v>
      </c>
      <c r="V78" s="24" t="str">
        <f t="shared" ref="V78:V79" si="111">IF(U78=0,"",U78+0.021)</f>
        <v>10:30</v>
      </c>
      <c r="W78" s="24"/>
      <c r="X78" s="24"/>
      <c r="Y78" s="25" t="str">
        <f t="shared" si="99"/>
        <v>5.0</v>
      </c>
      <c r="Z78" s="25" t="str">
        <f t="shared" ref="Z78:AC78" si="108">$P78</f>
        <v>8.0</v>
      </c>
      <c r="AA78" s="25" t="str">
        <f t="shared" si="108"/>
        <v>8.0</v>
      </c>
      <c r="AB78" s="25" t="str">
        <f t="shared" si="108"/>
        <v>8.0</v>
      </c>
      <c r="AC78" s="25" t="str">
        <f t="shared" si="108"/>
        <v>8.0</v>
      </c>
      <c r="AD78" s="23" t="str">
        <f t="shared" si="77"/>
        <v>45</v>
      </c>
    </row>
    <row r="79" ht="15.75" customHeight="1">
      <c r="B79" s="18">
        <v>77.0</v>
      </c>
      <c r="C79" s="18" t="s">
        <v>38</v>
      </c>
      <c r="D79" s="19"/>
      <c r="E79" s="20" t="str">
        <f>Personal!G79</f>
        <v>Byron Estuardo Grijalva Salguero</v>
      </c>
      <c r="F79" s="20"/>
      <c r="G79" s="20" t="str">
        <f>Personal!H79</f>
        <v>AGENTE</v>
      </c>
      <c r="H79" s="24">
        <v>0.375</v>
      </c>
      <c r="I79" s="24" t="str">
        <f t="shared" si="109"/>
        <v>18:00</v>
      </c>
      <c r="J79" s="24">
        <v>0.5833333333333334</v>
      </c>
      <c r="K79" s="24" t="str">
        <f>IF(G79="AGENTE",'Semana 1'!$J79+0.042,IF(G79="REDES",'Semana 1'!$J79+0.042,IF(G79="AGENTE RM",'Semana 1'!$J79+0.042,IF(G79="AGENTE APERTURA",'Semana 1'!$J79+0.021,IF(G79="AGENTE CIERRE",'Semana 1'!$J79+0.021," - ")))))</f>
        <v>15:00</v>
      </c>
      <c r="L79" s="24">
        <v>0.40625</v>
      </c>
      <c r="M79" s="24" t="str">
        <f>IF(G79="AGENTE",'Semana 1'!$L79+0.014,IF(G79="REDES",'Semana 1'!$L79+0.014,IF(G79="AGENTE RM",'Semana 1'!$L79+0.014,IF(G79="AGENTE APERTURA",'Semana 1'!$L79+0.014,IF(G79="AGENTE CIERRE",'Semana 1'!$L79+0.014," - ")))))</f>
        <v>10:05</v>
      </c>
      <c r="N79" s="24">
        <v>0.6979166666666666</v>
      </c>
      <c r="O79" s="24" t="str">
        <f>IF(G79="AGENTE",'Semana 1'!$N79+0.007,IF(G79="REDES",'Semana 1'!$N79+0.007,IF(G79="AGENTE RM",'Semana 1'!$N79+0.007,IF(G79="AGENTE APERTURA",'Semana 1'!$N79+0.007,IF(G79="AGENTE CIERRE",'Semana 1'!$N79+0.007," - ")))))</f>
        <v>16:55</v>
      </c>
      <c r="P79" s="25" t="str">
        <f t="shared" si="75"/>
        <v>8.0</v>
      </c>
      <c r="Q79" s="24">
        <v>0.2916666666666667</v>
      </c>
      <c r="R79" s="24" t="str">
        <f t="shared" si="110"/>
        <v>12:00</v>
      </c>
      <c r="S79" s="24"/>
      <c r="T79" s="24"/>
      <c r="U79" s="24">
        <v>0.3958333333333333</v>
      </c>
      <c r="V79" s="24" t="str">
        <f t="shared" si="111"/>
        <v>10:00</v>
      </c>
      <c r="W79" s="24"/>
      <c r="X79" s="24"/>
      <c r="Y79" s="25" t="str">
        <f t="shared" si="99"/>
        <v>5.0</v>
      </c>
      <c r="Z79" s="25" t="str">
        <f t="shared" ref="Z79:AC79" si="112">$P79</f>
        <v>8.0</v>
      </c>
      <c r="AA79" s="25" t="str">
        <f t="shared" si="112"/>
        <v>8.0</v>
      </c>
      <c r="AB79" s="25" t="str">
        <f t="shared" si="112"/>
        <v>8.0</v>
      </c>
      <c r="AC79" s="25" t="str">
        <f t="shared" si="112"/>
        <v>8.0</v>
      </c>
      <c r="AD79" s="27" t="str">
        <f t="shared" si="77"/>
        <v>45</v>
      </c>
    </row>
    <row r="80" ht="15.75" customHeight="1">
      <c r="B80" s="18">
        <v>78.0</v>
      </c>
      <c r="C80" s="18" t="s">
        <v>38</v>
      </c>
      <c r="D80" s="19"/>
      <c r="E80" s="20" t="str">
        <f>Personal!G80</f>
        <v>Katherine Johana Chavez Deleon</v>
      </c>
      <c r="F80" s="20"/>
      <c r="G80" s="20" t="str">
        <f>Personal!H80</f>
        <v>AGENTE CIERRE</v>
      </c>
      <c r="H80" s="24">
        <v>0.6666666666666666</v>
      </c>
      <c r="I80" s="24">
        <v>0.9583333333333334</v>
      </c>
      <c r="J80" s="24">
        <v>0.9166666666666666</v>
      </c>
      <c r="K80" s="24" t="str">
        <f>IF(G80="AGENTE",'Semana 1'!$J80+0.042,IF(G80="REDES",'Semana 1'!$J80+0.042,IF(G80="AGENTE RM",'Semana 1'!$J80+0.042,IF(G80="AGENTE APERTURA",'Semana 1'!$J80+0.021,IF(G80="AGENTE CIERRE",'Semana 1'!$J80+0.021," - ")))))</f>
        <v>22:30</v>
      </c>
      <c r="L80" s="24">
        <v>0.9375</v>
      </c>
      <c r="M80" s="24" t="str">
        <f>IF(G80="AGENTE",'Semana 1'!$L80+0.014,IF(G80="REDES",'Semana 1'!$L80+0.014,IF(G80="AGENTE RM",'Semana 1'!$L80+0.014,IF(G80="AGENTE APERTURA",'Semana 1'!$L80+0.014,IF(G80="AGENTE CIERRE",'Semana 1'!$L80+0.014," - ")))))</f>
        <v>22:50</v>
      </c>
      <c r="N80" s="24">
        <v>0.9513888888888888</v>
      </c>
      <c r="O80" s="24" t="str">
        <f>IF(G80="AGENTE",'Semana 1'!$N80+0.007,IF(G80="REDES",'Semana 1'!$N80+0.007,IF(G80="AGENTE RM",'Semana 1'!$N80+0.007,IF(G80="AGENTE APERTURA",'Semana 1'!$N80+0.007,IF(G80="AGENTE CIERRE",'Semana 1'!$N80+0.007," - ")))))</f>
        <v>23:00</v>
      </c>
      <c r="P80" s="25" t="str">
        <f t="shared" si="75"/>
        <v>6.0</v>
      </c>
      <c r="Q80" s="24">
        <v>0.6666666666666666</v>
      </c>
      <c r="R80" s="24">
        <v>0.9583333333333334</v>
      </c>
      <c r="S80" s="24">
        <v>0.9166666666666666</v>
      </c>
      <c r="T80" s="24">
        <v>0.9376666666666666</v>
      </c>
      <c r="U80" s="24">
        <v>0.9375</v>
      </c>
      <c r="V80" s="24">
        <v>0.9515</v>
      </c>
      <c r="W80" s="24">
        <v>0.9513888888888888</v>
      </c>
      <c r="X80" s="24">
        <v>0.9583888888888888</v>
      </c>
      <c r="Y80" s="25" t="str">
        <f>(IFERROR(R80-Q80,0)*24)-1</f>
        <v>6.0</v>
      </c>
      <c r="Z80" s="25" t="str">
        <f t="shared" ref="Z80:AC80" si="113">$P80</f>
        <v>6.0</v>
      </c>
      <c r="AA80" s="25" t="str">
        <f t="shared" si="113"/>
        <v>6.0</v>
      </c>
      <c r="AB80" s="25" t="str">
        <f t="shared" si="113"/>
        <v>6.0</v>
      </c>
      <c r="AC80" s="25" t="str">
        <f t="shared" si="113"/>
        <v>6.0</v>
      </c>
      <c r="AD80" s="23" t="str">
        <f t="shared" si="77"/>
        <v>36</v>
      </c>
    </row>
    <row r="81" ht="15.75" customHeight="1">
      <c r="B81" s="18">
        <v>79.0</v>
      </c>
      <c r="C81" s="18" t="s">
        <v>38</v>
      </c>
      <c r="D81" s="19"/>
      <c r="E81" s="20" t="str">
        <f>Personal!G81</f>
        <v>Cinthia Marbelly Lopez Zelada</v>
      </c>
      <c r="F81" s="20"/>
      <c r="G81" s="20" t="str">
        <f>Personal!H81</f>
        <v>AGENTE</v>
      </c>
      <c r="H81" s="24">
        <v>0.375</v>
      </c>
      <c r="I81" s="24" t="str">
        <f t="shared" ref="I81:I87" si="115">IF(H81=0," ",IF(Q81=0,(H81+0.417),(H81+0.3756)))</f>
        <v>18:00</v>
      </c>
      <c r="J81" s="24">
        <v>0.5833333333333334</v>
      </c>
      <c r="K81" s="24" t="str">
        <f>IF(G81="AGENTE",'Semana 1'!$J81+0.042,IF(G81="REDES",'Semana 1'!$J81+0.042,IF(G81="AGENTE RM",'Semana 1'!$J81+0.042,IF(G81="AGENTE APERTURA",'Semana 1'!$J81+0.021,IF(G81="AGENTE CIERRE",'Semana 1'!$J81+0.021," - ")))))</f>
        <v>15:00</v>
      </c>
      <c r="L81" s="24">
        <v>0.40625</v>
      </c>
      <c r="M81" s="24" t="str">
        <f>IF(G81="AGENTE",'Semana 1'!$L81+0.014,IF(G81="REDES",'Semana 1'!$L81+0.014,IF(G81="AGENTE RM",'Semana 1'!$L81+0.014,IF(G81="AGENTE APERTURA",'Semana 1'!$L81+0.014,IF(G81="AGENTE CIERRE",'Semana 1'!$L81+0.014," - ")))))</f>
        <v>10:05</v>
      </c>
      <c r="N81" s="24">
        <v>0.6979166666666666</v>
      </c>
      <c r="O81" s="24" t="str">
        <f>IF(G81="AGENTE",'Semana 1'!$N81+0.007,IF(G81="REDES",'Semana 1'!$N81+0.007,IF(G81="AGENTE RM",'Semana 1'!$N81+0.007,IF(G81="AGENTE APERTURA",'Semana 1'!$N81+0.007,IF(G81="AGENTE CIERRE",'Semana 1'!$N81+0.007," - ")))))</f>
        <v>16:55</v>
      </c>
      <c r="P81" s="25" t="str">
        <f t="shared" si="75"/>
        <v>8.0</v>
      </c>
      <c r="Q81" s="24">
        <v>0.4583333333333333</v>
      </c>
      <c r="R81" s="24" t="str">
        <f t="shared" ref="R81:R85" si="116">IF(Q81=0,"",Q81+0.209)</f>
        <v>16:00</v>
      </c>
      <c r="S81" s="24"/>
      <c r="T81" s="24"/>
      <c r="U81" s="24">
        <v>0.5833333333333334</v>
      </c>
      <c r="V81" s="24" t="str">
        <f t="shared" ref="V81:V87" si="117">IF(U81=0,"",U81+0.021)</f>
        <v>14:30</v>
      </c>
      <c r="W81" s="24"/>
      <c r="X81" s="24"/>
      <c r="Y81" s="25" t="str">
        <f t="shared" ref="Y81:Y87" si="118">(IFERROR(R81-Q81,0)*24)</f>
        <v>5.0</v>
      </c>
      <c r="Z81" s="25" t="str">
        <f t="shared" ref="Z81:AC81" si="114">$P81</f>
        <v>8.0</v>
      </c>
      <c r="AA81" s="25" t="str">
        <f t="shared" si="114"/>
        <v>8.0</v>
      </c>
      <c r="AB81" s="25" t="str">
        <f t="shared" si="114"/>
        <v>8.0</v>
      </c>
      <c r="AC81" s="25" t="str">
        <f t="shared" si="114"/>
        <v>8.0</v>
      </c>
      <c r="AD81" s="27" t="str">
        <f t="shared" si="77"/>
        <v>45</v>
      </c>
    </row>
    <row r="82" ht="15.75" customHeight="1">
      <c r="B82" s="18">
        <v>80.0</v>
      </c>
      <c r="C82" s="18" t="s">
        <v>38</v>
      </c>
      <c r="D82" s="19"/>
      <c r="E82" s="19" t="str">
        <f>Personal!G59</f>
        <v>Ventura Glenda Paola Echeveria Perez</v>
      </c>
      <c r="F82" s="19" t="s">
        <v>13</v>
      </c>
      <c r="G82" s="19" t="str">
        <f>Personal!H59</f>
        <v>AGENTE RM</v>
      </c>
      <c r="H82" s="51">
        <v>0.3333333333333333</v>
      </c>
      <c r="I82" s="51" t="str">
        <f t="shared" si="115"/>
        <v>17:00</v>
      </c>
      <c r="J82" s="51">
        <v>0.5416666666666666</v>
      </c>
      <c r="K82" s="51" t="str">
        <f>IF(G82="AGENTE",'Semana 1'!$J82+0.042,IF(G82="REDES",'Semana 1'!$J82+0.042,IF(G82="AGENTE RM",'Semana 1'!$J82+0.042,IF(G82="AGENTE APERTURA",'Semana 1'!$J82+0.021,IF(G82="AGENTE CIERRE",'Semana 1'!$J82+0.021," - ")))))</f>
        <v>1:00</v>
      </c>
      <c r="L82" s="51">
        <v>0.3958333333333333</v>
      </c>
      <c r="M82" s="51" t="str">
        <f>IF(G82="AGENTE",'Semana 1'!$L82+0.014,IF(G82="REDES",'Semana 1'!$L82+0.014,IF(G82="AGENTE RM",'Semana 1'!$L82+0.014,IF(G82="AGENTE APERTURA",'Semana 1'!$L82+0.014,IF(G82="AGENTE CIERRE",'Semana 1'!$L82+0.014," - ")))))</f>
        <v>0:20</v>
      </c>
      <c r="N82" s="51">
        <v>0.7291666666666666</v>
      </c>
      <c r="O82" s="51" t="str">
        <f>IF(G82="AGENTE",'Semana 1'!$N82+0.007,IF(G82="REDES",'Semana 1'!$N82+0.007,IF(G82="AGENTE RM",'Semana 1'!$N82+0.007,IF(G82="AGENTE APERTURA",'Semana 1'!$N82+0.007,IF(G82="AGENTE CIERRE",'Semana 1'!$N82+0.007," - ")))))</f>
        <v>0:10</v>
      </c>
      <c r="P82" s="52" t="str">
        <f t="shared" si="75"/>
        <v>8.0</v>
      </c>
      <c r="Q82" s="51">
        <v>0.3333333333333333</v>
      </c>
      <c r="R82" s="51" t="str">
        <f t="shared" si="116"/>
        <v>13:00</v>
      </c>
      <c r="S82" s="53"/>
      <c r="T82" s="53"/>
      <c r="U82" s="51">
        <v>0.375</v>
      </c>
      <c r="V82" s="51" t="str">
        <f t="shared" si="117"/>
        <v>9:30</v>
      </c>
      <c r="W82" s="53"/>
      <c r="X82" s="53"/>
      <c r="Y82" s="52" t="str">
        <f t="shared" si="118"/>
        <v>5.0</v>
      </c>
      <c r="Z82" s="52" t="str">
        <f t="shared" ref="Z82:AC82" si="119">$P82</f>
        <v>8.0</v>
      </c>
      <c r="AA82" s="52" t="str">
        <f t="shared" si="119"/>
        <v>8.0</v>
      </c>
      <c r="AB82" s="52" t="str">
        <f t="shared" si="119"/>
        <v>8.0</v>
      </c>
      <c r="AC82" s="52" t="str">
        <f t="shared" si="119"/>
        <v>8.0</v>
      </c>
      <c r="AD82" s="23"/>
    </row>
    <row r="83" ht="15.75" customHeight="1">
      <c r="E83" s="19" t="str">
        <f>Personal!G60</f>
        <v>Oscar Rene Ovalle Letran</v>
      </c>
      <c r="F83" s="19" t="s">
        <v>13</v>
      </c>
      <c r="G83" s="19" t="str">
        <f>Personal!H60</f>
        <v>SOPORTE</v>
      </c>
      <c r="H83" s="54"/>
      <c r="I83" s="54" t="str">
        <f t="shared" si="115"/>
        <v> </v>
      </c>
      <c r="J83" s="54"/>
      <c r="K83" s="54" t="str">
        <f>IF(G83="AGENTE",'Semana 1'!$J83+0.042,IF(G83="REDES",'Semana 1'!$J83+0.042,IF(G83="AGENTE RM",'Semana 1'!$J83+0.042,IF(G83="AGENTE APERTURA",'Semana 1'!$J83+0.021,IF(G83="AGENTE CIERRE",'Semana 1'!$J83+0.021," - ")))))</f>
        <v> - </v>
      </c>
      <c r="L83" s="54"/>
      <c r="M83" s="54" t="str">
        <f>IF(G83="AGENTE",'Semana 1'!$L83+0.014,IF(G83="REDES",'Semana 1'!$L83+0.014,IF(G83="AGENTE RM",'Semana 1'!$L83+0.014,IF(G83="AGENTE APERTURA",'Semana 1'!$L83+0.014,IF(G83="AGENTE CIERRE",'Semana 1'!$L83+0.014," - ")))))</f>
        <v> - </v>
      </c>
      <c r="N83" s="54"/>
      <c r="O83" s="54" t="str">
        <f>IF(G83="AGENTE",'Semana 1'!$N83+0.007,IF(G83="REDES",'Semana 1'!$N83+0.007,IF(G83="AGENTE RM",'Semana 1'!$N83+0.007,IF(G83="AGENTE APERTURA",'Semana 1'!$N83+0.007,IF(G83="AGENTE CIERRE",'Semana 1'!$N83+0.007," - ")))))</f>
        <v> - </v>
      </c>
      <c r="P83" s="55" t="str">
        <f t="shared" si="75"/>
        <v>-1.0</v>
      </c>
      <c r="Q83" s="54"/>
      <c r="R83" s="54" t="str">
        <f t="shared" si="116"/>
        <v/>
      </c>
      <c r="S83" s="54"/>
      <c r="T83" s="54" t="str">
        <f>IF(G83="AGENTE",'Semana 1'!$S83+0.042,IF(G83="REDES",'Semana 1'!$S83+0.042,IF(G83="AGENTE RM",'Semana 1'!$S83+0.042,IF(G83="AGENTE APERTURA",'Semana 1'!$S83+0.021,IF(G83="AGENTE CIERRE",'Semana 1'!$S83+0.021," - ")))))</f>
        <v> - </v>
      </c>
      <c r="U83" s="54"/>
      <c r="V83" s="54" t="str">
        <f t="shared" si="117"/>
        <v/>
      </c>
      <c r="W83" s="54"/>
      <c r="X83" s="54"/>
      <c r="Y83" s="55" t="str">
        <f t="shared" si="118"/>
        <v>0.0</v>
      </c>
      <c r="Z83" s="55" t="str">
        <f t="shared" ref="Z83:AC83" si="120">$P83</f>
        <v>-1.0</v>
      </c>
      <c r="AA83" s="55" t="str">
        <f t="shared" si="120"/>
        <v>-1.0</v>
      </c>
      <c r="AB83" s="55" t="str">
        <f t="shared" si="120"/>
        <v>-1.0</v>
      </c>
      <c r="AC83" s="55" t="str">
        <f t="shared" si="120"/>
        <v>-1.0</v>
      </c>
    </row>
    <row r="84" ht="15.75" customHeight="1">
      <c r="E84" s="19" t="str">
        <f>Personal!G61</f>
        <v>Mariela Edith Torres Figueroa</v>
      </c>
      <c r="F84" s="19" t="s">
        <v>13</v>
      </c>
      <c r="G84" s="19" t="str">
        <f>Personal!H61</f>
        <v>AGENTE</v>
      </c>
      <c r="H84" s="51">
        <v>0.3333333333333333</v>
      </c>
      <c r="I84" s="51" t="str">
        <f t="shared" si="115"/>
        <v>18:00</v>
      </c>
      <c r="J84" s="51">
        <v>0.5</v>
      </c>
      <c r="K84" s="51" t="str">
        <f>IF(G84="AGENTE",'Semana 1'!$J84+0.042,IF(G84="REDES",'Semana 1'!$J84+0.042,IF(G84="AGENTE RM",'Semana 1'!$J84+0.042,IF(G84="AGENTE APERTURA",'Semana 1'!$J84+0.021,IF(G84="AGENTE CIERRE",'Semana 1'!$J84+0.021," - ")))))</f>
        <v>1:00</v>
      </c>
      <c r="L84" s="51">
        <v>0.3854166666666667</v>
      </c>
      <c r="M84" s="51" t="str">
        <f>IF(G84="AGENTE",'Semana 1'!$L84+0.014,IF(G84="REDES",'Semana 1'!$L84+0.014,IF(G84="AGENTE RM",'Semana 1'!$L84+0.014,IF(G84="AGENTE APERTURA",'Semana 1'!$L84+0.014,IF(G84="AGENTE CIERRE",'Semana 1'!$L84+0.014," - ")))))</f>
        <v>0:20</v>
      </c>
      <c r="N84" s="51">
        <v>0.71875</v>
      </c>
      <c r="O84" s="51" t="str">
        <f>IF(G84="AGENTE",'Semana 1'!$N84+0.007,IF(G84="REDES",'Semana 1'!$N84+0.007,IF(G84="AGENTE RM",'Semana 1'!$N84+0.007,IF(G84="AGENTE APERTURA",'Semana 1'!$N84+0.007,IF(G84="AGENTE CIERRE",'Semana 1'!$N84+0.007," - ")))))</f>
        <v>0:10</v>
      </c>
      <c r="P84" s="52" t="str">
        <f t="shared" si="75"/>
        <v>9.0</v>
      </c>
      <c r="Q84" s="51"/>
      <c r="R84" s="51" t="str">
        <f t="shared" si="116"/>
        <v/>
      </c>
      <c r="S84" s="53"/>
      <c r="T84" s="53"/>
      <c r="U84" s="51"/>
      <c r="V84" s="51" t="str">
        <f t="shared" si="117"/>
        <v/>
      </c>
      <c r="W84" s="53"/>
      <c r="X84" s="53"/>
      <c r="Y84" s="52" t="str">
        <f t="shared" si="118"/>
        <v>0.0</v>
      </c>
      <c r="Z84" s="52" t="str">
        <f t="shared" ref="Z84:AC84" si="121">$P84</f>
        <v>9.0</v>
      </c>
      <c r="AA84" s="52" t="str">
        <f t="shared" si="121"/>
        <v>9.0</v>
      </c>
      <c r="AB84" s="52" t="str">
        <f t="shared" si="121"/>
        <v>9.0</v>
      </c>
      <c r="AC84" s="52" t="str">
        <f t="shared" si="121"/>
        <v>9.0</v>
      </c>
    </row>
    <row r="85" ht="15.75" customHeight="1">
      <c r="E85" s="19" t="str">
        <f>Personal!G62</f>
        <v>Marlyn Argentina Aguilar Lemus</v>
      </c>
      <c r="F85" s="19" t="s">
        <v>13</v>
      </c>
      <c r="G85" s="19" t="str">
        <f>Personal!H62</f>
        <v>AGENTE</v>
      </c>
      <c r="H85" s="54">
        <v>0.2708333333333333</v>
      </c>
      <c r="I85" s="54" t="str">
        <f t="shared" si="115"/>
        <v>16:30</v>
      </c>
      <c r="J85" s="54">
        <v>0.5</v>
      </c>
      <c r="K85" s="54" t="str">
        <f>IF(G85="AGENTE",'Semana 1'!$J85+0.042,IF(G85="REDES",'Semana 1'!$J85+0.042,IF(G85="AGENTE RM",'Semana 1'!$J85+0.042,IF(G85="AGENTE APERTURA",'Semana 1'!$J85+0.021,IF(G85="AGENTE CIERRE",'Semana 1'!$J85+0.021," - ")))))</f>
        <v>1:00</v>
      </c>
      <c r="L85" s="54">
        <v>0.3541666666666667</v>
      </c>
      <c r="M85" s="54" t="str">
        <f>IF(G85="AGENTE",'Semana 1'!$L85+0.014,IF(G85="REDES",'Semana 1'!$L85+0.014,IF(G85="AGENTE RM",'Semana 1'!$L85+0.014,IF(G85="AGENTE APERTURA",'Semana 1'!$L85+0.014,IF(G85="AGENTE CIERRE",'Semana 1'!$L85+0.014," - ")))))</f>
        <v>0:20</v>
      </c>
      <c r="N85" s="54">
        <v>0.65625</v>
      </c>
      <c r="O85" s="54" t="str">
        <f>IF(G85="AGENTE",'Semana 1'!$N85+0.007,IF(G85="REDES",'Semana 1'!$N85+0.007,IF(G85="AGENTE RM",'Semana 1'!$N85+0.007,IF(G85="AGENTE APERTURA",'Semana 1'!$N85+0.007,IF(G85="AGENTE CIERRE",'Semana 1'!$N85+0.007," - ")))))</f>
        <v>0:10</v>
      </c>
      <c r="P85" s="55" t="str">
        <f t="shared" si="75"/>
        <v>9.0</v>
      </c>
      <c r="Q85" s="54"/>
      <c r="R85" s="54" t="str">
        <f t="shared" si="116"/>
        <v/>
      </c>
      <c r="S85" s="56"/>
      <c r="T85" s="56"/>
      <c r="U85" s="54"/>
      <c r="V85" s="54" t="str">
        <f t="shared" si="117"/>
        <v/>
      </c>
      <c r="W85" s="56"/>
      <c r="X85" s="56"/>
      <c r="Y85" s="55" t="str">
        <f t="shared" si="118"/>
        <v>0.0</v>
      </c>
      <c r="Z85" s="55" t="str">
        <f t="shared" ref="Z85:AC85" si="122">$P85</f>
        <v>9.0</v>
      </c>
      <c r="AA85" s="55" t="str">
        <f t="shared" si="122"/>
        <v>9.0</v>
      </c>
      <c r="AB85" s="55" t="str">
        <f t="shared" si="122"/>
        <v>9.0</v>
      </c>
      <c r="AC85" s="55" t="str">
        <f t="shared" si="122"/>
        <v>9.0</v>
      </c>
    </row>
    <row r="86" ht="15.75" customHeight="1">
      <c r="E86" s="19" t="str">
        <f>Personal!G63</f>
        <v>Ilse Beatriz Perez Roque</v>
      </c>
      <c r="F86" s="19" t="s">
        <v>13</v>
      </c>
      <c r="G86" s="19" t="str">
        <f>Personal!H63</f>
        <v>AGENTE</v>
      </c>
      <c r="H86" s="51">
        <v>0.3333333333333333</v>
      </c>
      <c r="I86" s="51" t="str">
        <f t="shared" si="115"/>
        <v>18:00</v>
      </c>
      <c r="J86" s="51">
        <v>0.5833333333333334</v>
      </c>
      <c r="K86" s="51" t="str">
        <f>IF(G86="AGENTE",Tabla1[[#This Row],[1 Inicio Almuerzo Lunes]]+0.042,IF(G86="REDES",Tabla1[[#This Row],[1 Inicio Almuerzo Lunes]]+0.042,IF(G86="AGENTE RM",Tabla1[[#This Row],[1 Inicio Almuerzo Lunes]]+0.042,IF(G86="AGENTE APERTURA",Tabla1[[#This Row],[1 Inicio Almuerzo Lunes]]+0.021,IF(G86="AGENTE CIERRE",Tabla1[[#This Row],[1 Inicio Almuerzo Lunes]]+0.021," - ")))))</f>
        <v>#ERROR!</v>
      </c>
      <c r="L86" s="51">
        <v>0.4166666666666667</v>
      </c>
      <c r="M86" s="51" t="str">
        <f>IF(G86="AGENTE",Tabla1[[#This Row],[1 Incio Break 1 Lunes]]+0.014,IF(G86="REDES",Tabla1[[#This Row],[1 Incio Break 1 Lunes]]+0.014,IF(G86="AGENTE RM",Tabla1[[#This Row],[1 Incio Break 1 Lunes]]+0.014,IF(G86="AGENTE APERTURA",Tabla1[[#This Row],[1 Incio Break 1 Lunes]]+0.014,IF(G86="AGENTE CIERRE",Tabla1[[#This Row],[1 Incio Break 1 Lunes]]+0.014," - ")))))</f>
        <v>#ERROR!</v>
      </c>
      <c r="N86" s="51">
        <v>0.6875</v>
      </c>
      <c r="O86" s="51" t="str">
        <f>IF(G86="AGENTE",Tabla1[[#This Row],[1 Incio Break 2 Lunes]]+0.007,IF(G86="REDES",Tabla1[[#This Row],[1 Incio Break 2 Lunes]]+0.007,IF(G86="AGENTE RM",Tabla1[[#This Row],[1 Incio Break 2 Lunes]]+0.007,IF(G86="AGENTE APERTURA",Tabla1[[#This Row],[1 Incio Break 2 Lunes]]+0.007,IF(G86="AGENTE CIERRE",Tabla1[[#This Row],[1 Incio Break 2 Lunes]]+0.007," - ")))))</f>
        <v>#ERROR!</v>
      </c>
      <c r="P86" s="52" t="str">
        <f t="shared" si="75"/>
        <v>9.0</v>
      </c>
      <c r="Q86" s="51"/>
      <c r="R86" s="51"/>
      <c r="S86" s="53"/>
      <c r="T86" s="53"/>
      <c r="U86" s="51"/>
      <c r="V86" s="51" t="str">
        <f t="shared" si="117"/>
        <v/>
      </c>
      <c r="W86" s="53"/>
      <c r="X86" s="53"/>
      <c r="Y86" s="52" t="str">
        <f t="shared" si="118"/>
        <v>0.0</v>
      </c>
      <c r="Z86" s="52" t="str">
        <f t="shared" ref="Z86:AC86" si="123">$P86</f>
        <v>9.0</v>
      </c>
      <c r="AA86" s="52" t="str">
        <f t="shared" si="123"/>
        <v>9.0</v>
      </c>
      <c r="AB86" s="52" t="str">
        <f t="shared" si="123"/>
        <v>9.0</v>
      </c>
      <c r="AC86" s="52" t="str">
        <f t="shared" si="123"/>
        <v>9.0</v>
      </c>
    </row>
    <row r="87" ht="15.75" customHeight="1">
      <c r="E87" s="19" t="str">
        <f>Personal!G64</f>
        <v>-</v>
      </c>
      <c r="F87" s="19" t="s">
        <v>13</v>
      </c>
      <c r="G87" s="19" t="str">
        <f>Personal!H64</f>
        <v>-</v>
      </c>
      <c r="H87" s="54"/>
      <c r="I87" s="54" t="str">
        <f t="shared" si="115"/>
        <v> </v>
      </c>
      <c r="J87" s="54"/>
      <c r="K87" s="54" t="str">
        <f>IF(G87="AGENTE",Tabla1[[#This Row],[1 Inicio Almuerzo Lunes]]+0.042,IF(G87="REDES",Tabla1[[#This Row],[1 Inicio Almuerzo Lunes]]+0.042,IF(G87="AGENTE RM",Tabla1[[#This Row],[1 Inicio Almuerzo Lunes]]+0.042,IF(G87="AGENTE APERTURA",Tabla1[[#This Row],[1 Inicio Almuerzo Lunes]]+0.021,IF(G87="AGENTE CIERRE",Tabla1[[#This Row],[1 Inicio Almuerzo Lunes]]+0.021," - ")))))</f>
        <v>#ERROR!</v>
      </c>
      <c r="L87" s="54"/>
      <c r="M87" s="54" t="str">
        <f>IF(G87="AGENTE",Tabla1[[#This Row],[1 Incio Break 1 Lunes]]+0.014,IF(G87="REDES",Tabla1[[#This Row],[1 Incio Break 1 Lunes]]+0.014,IF(G87="AGENTE RM",Tabla1[[#This Row],[1 Incio Break 1 Lunes]]+0.014,IF(G87="AGENTE APERTURA",Tabla1[[#This Row],[1 Incio Break 1 Lunes]]+0.014,IF(G87="AGENTE CIERRE",Tabla1[[#This Row],[1 Incio Break 1 Lunes]]+0.014," - ")))))</f>
        <v>#ERROR!</v>
      </c>
      <c r="N87" s="54"/>
      <c r="O87" s="54" t="str">
        <f>IF(G87="AGENTE",Tabla1[[#This Row],[1 Incio Break 2 Lunes]]+0.007,IF(G87="REDES",Tabla1[[#This Row],[1 Incio Break 2 Lunes]]+0.007,IF(G87="AGENTE RM",Tabla1[[#This Row],[1 Incio Break 2 Lunes]]+0.007,IF(G87="AGENTE APERTURA",Tabla1[[#This Row],[1 Incio Break 2 Lunes]]+0.007,IF(G87="AGENTE CIERRE",Tabla1[[#This Row],[1 Incio Break 2 Lunes]]+0.007," - ")))))</f>
        <v>#ERROR!</v>
      </c>
      <c r="P87" s="55" t="str">
        <f t="shared" si="75"/>
        <v>-1.0</v>
      </c>
      <c r="Q87" s="54"/>
      <c r="R87" s="54"/>
      <c r="S87" s="54"/>
      <c r="T87" s="54" t="str">
        <f>IF(G87="AGENTE",Tabla1[[#This Row],[1 Inicio AlmuerzoSabado]]+0.042,IF(G87="REDES",Tabla1[[#This Row],[1 Inicio AlmuerzoSabado]]+0.042,IF(G87="AGENTE RM",Tabla1[[#This Row],[1 Inicio AlmuerzoSabado]]+0.042,IF(G87="AGENTE APERTURA",Tabla1[[#This Row],[1 Inicio AlmuerzoSabado]]+0.021,IF(G87="AGENTE CIERRE",Tabla1[[#This Row],[1 Inicio AlmuerzoSabado]]+0.021," - ")))))</f>
        <v>#ERROR!</v>
      </c>
      <c r="U87" s="54"/>
      <c r="V87" s="54" t="str">
        <f t="shared" si="117"/>
        <v/>
      </c>
      <c r="W87" s="54"/>
      <c r="X87" s="54"/>
      <c r="Y87" s="55" t="str">
        <f t="shared" si="118"/>
        <v>0.0</v>
      </c>
      <c r="Z87" s="55" t="str">
        <f t="shared" ref="Z87:AC87" si="124">$P87</f>
        <v>-1.0</v>
      </c>
      <c r="AA87" s="55" t="str">
        <f t="shared" si="124"/>
        <v>-1.0</v>
      </c>
      <c r="AB87" s="55" t="str">
        <f t="shared" si="124"/>
        <v>-1.0</v>
      </c>
      <c r="AC87" s="55" t="str">
        <f t="shared" si="124"/>
        <v>-1.0</v>
      </c>
    </row>
    <row r="88" ht="15.75" customHeight="1">
      <c r="E88" s="19" t="str">
        <f>Personal!G65</f>
        <v>-</v>
      </c>
      <c r="F88" s="19" t="s">
        <v>13</v>
      </c>
      <c r="G88" s="19" t="str">
        <f>Personal!H65</f>
        <v>-</v>
      </c>
      <c r="H88" s="51"/>
      <c r="I88" s="51"/>
      <c r="J88" s="51"/>
      <c r="K88" s="51" t="str">
        <f>IF(G88="AGENTE",Tabla1[[#This Row],[1 Inicio Almuerzo Lunes]]+0.042,IF(G88="REDES",Tabla1[[#This Row],[1 Inicio Almuerzo Lunes]]+0.042,IF(G88="AGENTE RM",Tabla1[[#This Row],[1 Inicio Almuerzo Lunes]]+0.042,IF(G88="AGENTE APERTURA",Tabla1[[#This Row],[1 Inicio Almuerzo Lunes]]+0.021,IF(G88="AGENTE CIERRE",Tabla1[[#This Row],[1 Inicio Almuerzo Lunes]]+0.021," - ")))))</f>
        <v>#ERROR!</v>
      </c>
      <c r="L88" s="51"/>
      <c r="M88" s="51" t="str">
        <f>IF(G88="AGENTE",Tabla1[[#This Row],[1 Incio Break 1 Lunes]]+0.014,IF(G88="REDES",Tabla1[[#This Row],[1 Incio Break 1 Lunes]]+0.014,IF(G88="AGENTE RM",Tabla1[[#This Row],[1 Incio Break 1 Lunes]]+0.014,IF(G88="AGENTE APERTURA",Tabla1[[#This Row],[1 Incio Break 1 Lunes]]+0.014,IF(G88="AGENTE CIERRE",Tabla1[[#This Row],[1 Incio Break 1 Lunes]]+0.014," - ")))))</f>
        <v>#ERROR!</v>
      </c>
      <c r="N88" s="51"/>
      <c r="O88" s="51" t="str">
        <f>IF(G88="AGENTE",Tabla1[[#This Row],[1 Incio Break 2 Lunes]]+0.007,IF(G88="REDES",Tabla1[[#This Row],[1 Incio Break 2 Lunes]]+0.007,IF(G88="AGENTE RM",Tabla1[[#This Row],[1 Incio Break 2 Lunes]]+0.007,IF(G88="AGENTE APERTURA",Tabla1[[#This Row],[1 Incio Break 2 Lunes]]+0.007,IF(G88="AGENTE CIERRE",Tabla1[[#This Row],[1 Incio Break 2 Lunes]]+0.007," - ")))))</f>
        <v>#ERROR!</v>
      </c>
      <c r="P88" s="52"/>
      <c r="Q88" s="51"/>
      <c r="R88" s="51"/>
      <c r="S88" s="53"/>
      <c r="T88" s="53" t="str">
        <f>IF(G88="AGENTE",Tabla1[[#This Row],[1 Inicio AlmuerzoSabado]]+0.042,IF(G88="REDES",Tabla1[[#This Row],[1 Inicio AlmuerzoSabado]]+0.042,IF(G88="AGENTE RM",Tabla1[[#This Row],[1 Inicio AlmuerzoSabado]]+0.042,IF(G88="AGENTE APERTURA",Tabla1[[#This Row],[1 Inicio AlmuerzoSabado]]+0.021,IF(G88="AGENTE CIERRE",Tabla1[[#This Row],[1 Inicio AlmuerzoSabado]]+0.021," - ")))))</f>
        <v>#ERROR!</v>
      </c>
      <c r="U88" s="51"/>
      <c r="V88" s="51"/>
      <c r="W88" s="53"/>
      <c r="X88" s="53"/>
      <c r="Y88" s="52"/>
      <c r="Z88" s="52"/>
      <c r="AA88" s="52"/>
      <c r="AB88" s="52"/>
      <c r="AC88" s="52"/>
    </row>
    <row r="89" ht="15.75" customHeight="1">
      <c r="E89" s="19" t="str">
        <f>Personal!G66</f>
        <v>-</v>
      </c>
      <c r="F89" s="19" t="s">
        <v>13</v>
      </c>
      <c r="G89" s="19" t="str">
        <f>Personal!H66</f>
        <v>-</v>
      </c>
      <c r="H89" s="54"/>
      <c r="I89" s="54"/>
      <c r="J89" s="54"/>
      <c r="K89" s="54" t="str">
        <f>IF(G89="AGENTE",Tabla1[[#This Row],[1 Inicio Almuerzo Lunes]]+0.042,IF(G89="REDES",Tabla1[[#This Row],[1 Inicio Almuerzo Lunes]]+0.042,IF(G89="AGENTE RM",Tabla1[[#This Row],[1 Inicio Almuerzo Lunes]]+0.042,IF(G89="AGENTE APERTURA",Tabla1[[#This Row],[1 Inicio Almuerzo Lunes]]+0.021,IF(G89="AGENTE CIERRE",Tabla1[[#This Row],[1 Inicio Almuerzo Lunes]]+0.021," - ")))))</f>
        <v>#ERROR!</v>
      </c>
      <c r="L89" s="54"/>
      <c r="M89" s="54" t="str">
        <f>IF(G89="AGENTE",Tabla1[[#This Row],[1 Incio Break 1 Lunes]]+0.014,IF(G89="REDES",Tabla1[[#This Row],[1 Incio Break 1 Lunes]]+0.014,IF(G89="AGENTE RM",Tabla1[[#This Row],[1 Incio Break 1 Lunes]]+0.014,IF(G89="AGENTE APERTURA",Tabla1[[#This Row],[1 Incio Break 1 Lunes]]+0.014,IF(G89="AGENTE CIERRE",Tabla1[[#This Row],[1 Incio Break 1 Lunes]]+0.014," - ")))))</f>
        <v>#ERROR!</v>
      </c>
      <c r="N89" s="54"/>
      <c r="O89" s="54" t="str">
        <f>IF(G89="AGENTE",Tabla1[[#This Row],[1 Incio Break 2 Lunes]]+0.007,IF(G89="REDES",Tabla1[[#This Row],[1 Incio Break 2 Lunes]]+0.007,IF(G89="AGENTE RM",Tabla1[[#This Row],[1 Incio Break 2 Lunes]]+0.007,IF(G89="AGENTE APERTURA",Tabla1[[#This Row],[1 Incio Break 2 Lunes]]+0.007,IF(G89="AGENTE CIERRE",Tabla1[[#This Row],[1 Incio Break 2 Lunes]]+0.007," - ")))))</f>
        <v>#ERROR!</v>
      </c>
      <c r="P89" s="55"/>
      <c r="Q89" s="54"/>
      <c r="R89" s="54"/>
      <c r="S89" s="56"/>
      <c r="T89" s="56" t="str">
        <f>IF(G89="AGENTE",Tabla1[[#This Row],[1 Inicio AlmuerzoSabado]]+0.042,IF(G89="REDES",Tabla1[[#This Row],[1 Inicio AlmuerzoSabado]]+0.042,IF(G89="AGENTE RM",Tabla1[[#This Row],[1 Inicio AlmuerzoSabado]]+0.042,IF(G89="AGENTE APERTURA",Tabla1[[#This Row],[1 Inicio AlmuerzoSabado]]+0.021,IF(G89="AGENTE CIERRE",Tabla1[[#This Row],[1 Inicio AlmuerzoSabado]]+0.021," - ")))))</f>
        <v>#ERROR!</v>
      </c>
      <c r="U89" s="54"/>
      <c r="V89" s="54"/>
      <c r="W89" s="56"/>
      <c r="X89" s="56"/>
      <c r="Y89" s="55"/>
      <c r="Z89" s="55"/>
      <c r="AA89" s="55"/>
      <c r="AB89" s="55"/>
      <c r="AC89" s="55"/>
    </row>
    <row r="90" ht="15.75" customHeight="1">
      <c r="E90" s="19" t="str">
        <f>Personal!G67</f>
        <v>Selvin Manolo Rajpop Ajuchan</v>
      </c>
      <c r="F90" s="19" t="s">
        <v>13</v>
      </c>
      <c r="G90" s="19" t="str">
        <f>Personal!H67</f>
        <v>AGENTE</v>
      </c>
      <c r="H90" s="51">
        <v>0.3333333333333333</v>
      </c>
      <c r="I90" s="51" t="str">
        <f t="shared" ref="I90:I97" si="126">IF(H90=0," ",IF(Q90=0,(H90+0.417),(H90+0.3756)))</f>
        <v>17:00</v>
      </c>
      <c r="J90" s="51">
        <v>0.5416666666666666</v>
      </c>
      <c r="K90" s="51" t="str">
        <f>IF(G90="AGENTE",Tabla1[[#This Row],[1 Inicio Almuerzo Lunes]]+0.042,IF(G90="REDES",Tabla1[[#This Row],[1 Inicio Almuerzo Lunes]]+0.042,IF(G90="AGENTE RM",Tabla1[[#This Row],[1 Inicio Almuerzo Lunes]]+0.042,IF(G90="AGENTE APERTURA",Tabla1[[#This Row],[1 Inicio Almuerzo Lunes]]+0.021,IF(G90="AGENTE CIERRE",Tabla1[[#This Row],[1 Inicio Almuerzo Lunes]]+0.021," - ")))))</f>
        <v>#ERROR!</v>
      </c>
      <c r="L90" s="51">
        <v>0.3854166666666667</v>
      </c>
      <c r="M90" s="51" t="str">
        <f>IF(G90="AGENTE",Tabla1[[#This Row],[1 Incio Break 1 Lunes]]+0.014,IF(G90="REDES",Tabla1[[#This Row],[1 Incio Break 1 Lunes]]+0.014,IF(G90="AGENTE RM",Tabla1[[#This Row],[1 Incio Break 1 Lunes]]+0.014,IF(G90="AGENTE APERTURA",Tabla1[[#This Row],[1 Incio Break 1 Lunes]]+0.014,IF(G90="AGENTE CIERRE",Tabla1[[#This Row],[1 Incio Break 1 Lunes]]+0.014," - ")))))</f>
        <v>#ERROR!</v>
      </c>
      <c r="N90" s="51">
        <v>0.6979166666666666</v>
      </c>
      <c r="O90" s="51" t="str">
        <f>IF(G90="AGENTE",Tabla1[[#This Row],[1 Incio Break 2 Lunes]]+0.007,IF(G90="REDES",Tabla1[[#This Row],[1 Incio Break 2 Lunes]]+0.007,IF(G90="AGENTE RM",Tabla1[[#This Row],[1 Incio Break 2 Lunes]]+0.007,IF(G90="AGENTE APERTURA",Tabla1[[#This Row],[1 Incio Break 2 Lunes]]+0.007,IF(G90="AGENTE CIERRE",Tabla1[[#This Row],[1 Incio Break 2 Lunes]]+0.007," - ")))))</f>
        <v>#ERROR!</v>
      </c>
      <c r="P90" s="52" t="str">
        <f t="shared" ref="P90:P104" si="127">(IFERROR(I90-H90,0)*24)-1</f>
        <v>8.0</v>
      </c>
      <c r="Q90" s="51">
        <v>0.3541666666666667</v>
      </c>
      <c r="R90" s="51" t="str">
        <f t="shared" ref="R90:R97" si="128">IF(Q90=0,"",Q90+0.209)</f>
        <v>13:30</v>
      </c>
      <c r="S90" s="53"/>
      <c r="T90" s="53"/>
      <c r="U90" s="51">
        <v>0.3541666666666667</v>
      </c>
      <c r="V90" s="51" t="str">
        <f t="shared" ref="V90:V97" si="129">IF(U90=0,"",U90+0.021)</f>
        <v>9:00</v>
      </c>
      <c r="W90" s="53"/>
      <c r="X90" s="53"/>
      <c r="Y90" s="52" t="str">
        <f t="shared" ref="Y90:Y104" si="130">(IFERROR(R90-Q90,0)*24)</f>
        <v>5.0</v>
      </c>
      <c r="Z90" s="52" t="str">
        <f t="shared" ref="Z90:AC90" si="125">$P90</f>
        <v>8.0</v>
      </c>
      <c r="AA90" s="52" t="str">
        <f t="shared" si="125"/>
        <v>8.0</v>
      </c>
      <c r="AB90" s="52" t="str">
        <f t="shared" si="125"/>
        <v>8.0</v>
      </c>
      <c r="AC90" s="52" t="str">
        <f t="shared" si="125"/>
        <v>8.0</v>
      </c>
    </row>
    <row r="91" ht="15.75" customHeight="1">
      <c r="E91" s="19" t="str">
        <f>Personal!G68</f>
        <v>Abner Alexander Curruchich Diaz</v>
      </c>
      <c r="F91" s="19" t="s">
        <v>13</v>
      </c>
      <c r="G91" s="19" t="str">
        <f>Personal!H68</f>
        <v>AGENTE</v>
      </c>
      <c r="H91" s="54">
        <v>0.3333333333333333</v>
      </c>
      <c r="I91" s="54" t="str">
        <f t="shared" si="126"/>
        <v>17:00</v>
      </c>
      <c r="J91" s="54">
        <v>0.5</v>
      </c>
      <c r="K91" s="54" t="str">
        <f>IF(G91="AGENTE",Tabla1[[#This Row],[1 Inicio Almuerzo Lunes]]+0.042,IF(G91="REDES",Tabla1[[#This Row],[1 Inicio Almuerzo Lunes]]+0.042,IF(G91="AGENTE RM",Tabla1[[#This Row],[1 Inicio Almuerzo Lunes]]+0.042,IF(G91="AGENTE APERTURA",Tabla1[[#This Row],[1 Inicio Almuerzo Lunes]]+0.021,IF(G91="AGENTE CIERRE",Tabla1[[#This Row],[1 Inicio Almuerzo Lunes]]+0.021," - ")))))</f>
        <v>#ERROR!</v>
      </c>
      <c r="L91" s="54">
        <v>0.3854166666666667</v>
      </c>
      <c r="M91" s="54" t="str">
        <f>IF(G91="AGENTE",Tabla1[[#This Row],[1 Incio Break 1 Lunes]]+0.014,IF(G91="REDES",Tabla1[[#This Row],[1 Incio Break 1 Lunes]]+0.014,IF(G91="AGENTE RM",Tabla1[[#This Row],[1 Incio Break 1 Lunes]]+0.014,IF(G91="AGENTE APERTURA",Tabla1[[#This Row],[1 Incio Break 1 Lunes]]+0.014,IF(G91="AGENTE CIERRE",Tabla1[[#This Row],[1 Incio Break 1 Lunes]]+0.014," - ")))))</f>
        <v>#ERROR!</v>
      </c>
      <c r="N91" s="54">
        <v>0.6666666666666666</v>
      </c>
      <c r="O91" s="54" t="str">
        <f>IF(G91="AGENTE",Tabla1[[#This Row],[1 Incio Break 2 Lunes]]+0.007,IF(G91="REDES",Tabla1[[#This Row],[1 Incio Break 2 Lunes]]+0.007,IF(G91="AGENTE RM",Tabla1[[#This Row],[1 Incio Break 2 Lunes]]+0.007,IF(G91="AGENTE APERTURA",Tabla1[[#This Row],[1 Incio Break 2 Lunes]]+0.007,IF(G91="AGENTE CIERRE",Tabla1[[#This Row],[1 Incio Break 2 Lunes]]+0.007," - ")))))</f>
        <v>#ERROR!</v>
      </c>
      <c r="P91" s="55" t="str">
        <f t="shared" si="127"/>
        <v>8.0</v>
      </c>
      <c r="Q91" s="54">
        <v>0.5416666666666666</v>
      </c>
      <c r="R91" s="54" t="str">
        <f t="shared" si="128"/>
        <v>18:00</v>
      </c>
      <c r="S91" s="54"/>
      <c r="T91" s="54"/>
      <c r="U91" s="54">
        <v>0.5833333333333334</v>
      </c>
      <c r="V91" s="54" t="str">
        <f t="shared" si="129"/>
        <v>14:30</v>
      </c>
      <c r="W91" s="54"/>
      <c r="X91" s="54"/>
      <c r="Y91" s="55" t="str">
        <f t="shared" si="130"/>
        <v>5.0</v>
      </c>
      <c r="Z91" s="55" t="str">
        <f t="shared" ref="Z91:AC91" si="131">$P91</f>
        <v>8.0</v>
      </c>
      <c r="AA91" s="55" t="str">
        <f t="shared" si="131"/>
        <v>8.0</v>
      </c>
      <c r="AB91" s="55" t="str">
        <f t="shared" si="131"/>
        <v>8.0</v>
      </c>
      <c r="AC91" s="55" t="str">
        <f t="shared" si="131"/>
        <v>8.0</v>
      </c>
    </row>
    <row r="92" ht="15.75" customHeight="1">
      <c r="E92" s="19" t="str">
        <f>Personal!G69</f>
        <v>Cindi Yorleni Godinez Siles de Eguizabal</v>
      </c>
      <c r="F92" s="19" t="s">
        <v>13</v>
      </c>
      <c r="G92" s="19" t="str">
        <f>Personal!H69</f>
        <v>AGENTE</v>
      </c>
      <c r="H92" s="51">
        <v>0.4166666666666667</v>
      </c>
      <c r="I92" s="51" t="str">
        <f t="shared" si="126"/>
        <v>19:00</v>
      </c>
      <c r="J92" s="51">
        <v>0.5833333333333334</v>
      </c>
      <c r="K92" s="51" t="str">
        <f>IF(G92="AGENTE",Tabla1[[#This Row],[1 Inicio Almuerzo Lunes]]+0.042,IF(G92="REDES",Tabla1[[#This Row],[1 Inicio Almuerzo Lunes]]+0.042,IF(G92="AGENTE RM",Tabla1[[#This Row],[1 Inicio Almuerzo Lunes]]+0.042,IF(G92="AGENTE APERTURA",Tabla1[[#This Row],[1 Inicio Almuerzo Lunes]]+0.021,IF(G92="AGENTE CIERRE",Tabla1[[#This Row],[1 Inicio Almuerzo Lunes]]+0.021," - ")))))</f>
        <v>#ERROR!</v>
      </c>
      <c r="L92" s="51">
        <v>0.46875</v>
      </c>
      <c r="M92" s="51" t="str">
        <f>IF(G92="AGENTE",Tabla1[[#This Row],[1 Incio Break 1 Lunes]]+0.014,IF(G92="REDES",Tabla1[[#This Row],[1 Incio Break 1 Lunes]]+0.014,IF(G92="AGENTE RM",Tabla1[[#This Row],[1 Incio Break 1 Lunes]]+0.014,IF(G92="AGENTE APERTURA",Tabla1[[#This Row],[1 Incio Break 1 Lunes]]+0.014,IF(G92="AGENTE CIERRE",Tabla1[[#This Row],[1 Incio Break 1 Lunes]]+0.014," - ")))))</f>
        <v>#ERROR!</v>
      </c>
      <c r="N92" s="51">
        <v>0.6875</v>
      </c>
      <c r="O92" s="51" t="str">
        <f>IF(G92="AGENTE",Tabla1[[#This Row],[1 Incio Break 2 Lunes]]+0.007,IF(G92="REDES",Tabla1[[#This Row],[1 Incio Break 2 Lunes]]+0.007,IF(G92="AGENTE RM",Tabla1[[#This Row],[1 Incio Break 2 Lunes]]+0.007,IF(G92="AGENTE APERTURA",Tabla1[[#This Row],[1 Incio Break 2 Lunes]]+0.007,IF(G92="AGENTE CIERRE",Tabla1[[#This Row],[1 Incio Break 2 Lunes]]+0.007," - ")))))</f>
        <v>#ERROR!</v>
      </c>
      <c r="P92" s="52" t="str">
        <f t="shared" si="127"/>
        <v>8.0</v>
      </c>
      <c r="Q92" s="51">
        <v>0.4583333333333333</v>
      </c>
      <c r="R92" s="51" t="str">
        <f t="shared" si="128"/>
        <v>16:00</v>
      </c>
      <c r="S92" s="53"/>
      <c r="T92" s="53"/>
      <c r="U92" s="51">
        <v>0.5416666666666666</v>
      </c>
      <c r="V92" s="51" t="str">
        <f t="shared" si="129"/>
        <v>13:30</v>
      </c>
      <c r="W92" s="53"/>
      <c r="X92" s="53"/>
      <c r="Y92" s="52" t="str">
        <f t="shared" si="130"/>
        <v>5.0</v>
      </c>
      <c r="Z92" s="52" t="str">
        <f t="shared" ref="Z92:AC92" si="132">$P92</f>
        <v>8.0</v>
      </c>
      <c r="AA92" s="52" t="str">
        <f t="shared" si="132"/>
        <v>8.0</v>
      </c>
      <c r="AB92" s="52" t="str">
        <f t="shared" si="132"/>
        <v>8.0</v>
      </c>
      <c r="AC92" s="52" t="str">
        <f t="shared" si="132"/>
        <v>8.0</v>
      </c>
    </row>
    <row r="93" ht="15.75" customHeight="1">
      <c r="E93" s="19" t="str">
        <f>Personal!G70</f>
        <v>Lleny Yolanda Asetun Jeronimo de Mateo</v>
      </c>
      <c r="F93" s="19" t="s">
        <v>13</v>
      </c>
      <c r="G93" s="19" t="str">
        <f>Personal!H70</f>
        <v>AGENTE</v>
      </c>
      <c r="H93" s="54">
        <v>0.3333333333333333</v>
      </c>
      <c r="I93" s="54" t="str">
        <f t="shared" si="126"/>
        <v>17:00</v>
      </c>
      <c r="J93" s="54">
        <v>0.5416666666666666</v>
      </c>
      <c r="K93" s="54" t="str">
        <f>IF(G93="AGENTE",Tabla1[[#This Row],[1 Inicio Almuerzo Lunes]]+0.042,IF(G93="REDES",Tabla1[[#This Row],[1 Inicio Almuerzo Lunes]]+0.042,IF(G93="AGENTE RM",Tabla1[[#This Row],[1 Inicio Almuerzo Lunes]]+0.042,IF(G93="AGENTE APERTURA",Tabla1[[#This Row],[1 Inicio Almuerzo Lunes]]+0.021,IF(G93="AGENTE CIERRE",Tabla1[[#This Row],[1 Inicio Almuerzo Lunes]]+0.021," - ")))))</f>
        <v>#ERROR!</v>
      </c>
      <c r="L93" s="54">
        <v>0.3958333333333333</v>
      </c>
      <c r="M93" s="54" t="str">
        <f>IF(G93="AGENTE",Tabla1[[#This Row],[1 Incio Break 1 Lunes]]+0.014,IF(G93="REDES",Tabla1[[#This Row],[1 Incio Break 1 Lunes]]+0.014,IF(G93="AGENTE RM",Tabla1[[#This Row],[1 Incio Break 1 Lunes]]+0.014,IF(G93="AGENTE APERTURA",Tabla1[[#This Row],[1 Incio Break 1 Lunes]]+0.014,IF(G93="AGENTE CIERRE",Tabla1[[#This Row],[1 Incio Break 1 Lunes]]+0.014," - ")))))</f>
        <v>#ERROR!</v>
      </c>
      <c r="N93" s="54">
        <v>0.6770833333333334</v>
      </c>
      <c r="O93" s="54" t="str">
        <f>IF(G93="AGENTE",Tabla1[[#This Row],[1 Incio Break 2 Lunes]]+0.007,IF(G93="REDES",Tabla1[[#This Row],[1 Incio Break 2 Lunes]]+0.007,IF(G93="AGENTE RM",Tabla1[[#This Row],[1 Incio Break 2 Lunes]]+0.007,IF(G93="AGENTE APERTURA",Tabla1[[#This Row],[1 Incio Break 2 Lunes]]+0.007,IF(G93="AGENTE CIERRE",Tabla1[[#This Row],[1 Incio Break 2 Lunes]]+0.007," - ")))))</f>
        <v>#ERROR!</v>
      </c>
      <c r="P93" s="55" t="str">
        <f t="shared" si="127"/>
        <v>8.0</v>
      </c>
      <c r="Q93" s="54">
        <v>0.5416666666666666</v>
      </c>
      <c r="R93" s="54" t="str">
        <f t="shared" si="128"/>
        <v>18:00</v>
      </c>
      <c r="S93" s="56"/>
      <c r="T93" s="56"/>
      <c r="U93" s="54">
        <v>0.6458333333333334</v>
      </c>
      <c r="V93" s="54" t="str">
        <f t="shared" si="129"/>
        <v>16:00</v>
      </c>
      <c r="W93" s="56"/>
      <c r="X93" s="56"/>
      <c r="Y93" s="55" t="str">
        <f t="shared" si="130"/>
        <v>5.0</v>
      </c>
      <c r="Z93" s="55" t="str">
        <f t="shared" ref="Z93:AC93" si="133">$P93</f>
        <v>8.0</v>
      </c>
      <c r="AA93" s="55" t="str">
        <f t="shared" si="133"/>
        <v>8.0</v>
      </c>
      <c r="AB93" s="55" t="str">
        <f t="shared" si="133"/>
        <v>8.0</v>
      </c>
      <c r="AC93" s="55" t="str">
        <f t="shared" si="133"/>
        <v>8.0</v>
      </c>
    </row>
    <row r="94" ht="15.75" customHeight="1">
      <c r="E94" s="19" t="str">
        <f>Personal!G71</f>
        <v>Ruth Nohemi Rosales Perez</v>
      </c>
      <c r="F94" s="19" t="s">
        <v>13</v>
      </c>
      <c r="G94" s="19" t="str">
        <f>Personal!H71</f>
        <v>AGENTE</v>
      </c>
      <c r="H94" s="51">
        <v>0.2916666666666667</v>
      </c>
      <c r="I94" s="51" t="str">
        <f t="shared" si="126"/>
        <v>16:00</v>
      </c>
      <c r="J94" s="51">
        <v>0.5</v>
      </c>
      <c r="K94" s="51" t="str">
        <f>IF(G94="AGENTE",Tabla1[[#This Row],[1 Inicio Almuerzo Lunes]]+0.042,IF(G94="REDES",Tabla1[[#This Row],[1 Inicio Almuerzo Lunes]]+0.042,IF(G94="AGENTE RM",Tabla1[[#This Row],[1 Inicio Almuerzo Lunes]]+0.042,IF(G94="AGENTE APERTURA",Tabla1[[#This Row],[1 Inicio Almuerzo Lunes]]+0.021,IF(G94="AGENTE CIERRE",Tabla1[[#This Row],[1 Inicio Almuerzo Lunes]]+0.021," - ")))))</f>
        <v>#ERROR!</v>
      </c>
      <c r="L94" s="51">
        <v>0.3645833333333333</v>
      </c>
      <c r="M94" s="51" t="str">
        <f>IF(G94="AGENTE",Tabla1[[#This Row],[1 Incio Break 1 Lunes]]+0.014,IF(G94="REDES",Tabla1[[#This Row],[1 Incio Break 1 Lunes]]+0.014,IF(G94="AGENTE RM",Tabla1[[#This Row],[1 Incio Break 1 Lunes]]+0.014,IF(G94="AGENTE APERTURA",Tabla1[[#This Row],[1 Incio Break 1 Lunes]]+0.014,IF(G94="AGENTE CIERRE",Tabla1[[#This Row],[1 Incio Break 1 Lunes]]+0.014," - ")))))</f>
        <v>#ERROR!</v>
      </c>
      <c r="N94" s="51">
        <v>0.6458333333333334</v>
      </c>
      <c r="O94" s="51" t="str">
        <f>IF(G94="AGENTE",Tabla1[[#This Row],[1 Incio Break 2 Lunes]]+0.007,IF(G94="REDES",Tabla1[[#This Row],[1 Incio Break 2 Lunes]]+0.007,IF(G94="AGENTE RM",Tabla1[[#This Row],[1 Incio Break 2 Lunes]]+0.007,IF(G94="AGENTE APERTURA",Tabla1[[#This Row],[1 Incio Break 2 Lunes]]+0.007,IF(G94="AGENTE CIERRE",Tabla1[[#This Row],[1 Incio Break 2 Lunes]]+0.007," - ")))))</f>
        <v>#ERROR!</v>
      </c>
      <c r="P94" s="52" t="str">
        <f t="shared" si="127"/>
        <v>8.0</v>
      </c>
      <c r="Q94" s="51">
        <v>0.4583333333333333</v>
      </c>
      <c r="R94" s="51" t="str">
        <f t="shared" si="128"/>
        <v>16:00</v>
      </c>
      <c r="S94" s="53"/>
      <c r="T94" s="53"/>
      <c r="U94" s="51">
        <v>0.5</v>
      </c>
      <c r="V94" s="51" t="str">
        <f t="shared" si="129"/>
        <v>12:30</v>
      </c>
      <c r="W94" s="53"/>
      <c r="X94" s="53"/>
      <c r="Y94" s="52" t="str">
        <f t="shared" si="130"/>
        <v>5.0</v>
      </c>
      <c r="Z94" s="52" t="str">
        <f t="shared" ref="Z94:AC94" si="134">$P94</f>
        <v>8.0</v>
      </c>
      <c r="AA94" s="52" t="str">
        <f t="shared" si="134"/>
        <v>8.0</v>
      </c>
      <c r="AB94" s="52" t="str">
        <f t="shared" si="134"/>
        <v>8.0</v>
      </c>
      <c r="AC94" s="52" t="str">
        <f t="shared" si="134"/>
        <v>8.0</v>
      </c>
    </row>
    <row r="95" ht="15.75" customHeight="1">
      <c r="E95" s="19" t="str">
        <f>Personal!G72</f>
        <v>Erick Alejandro Avea Rivera</v>
      </c>
      <c r="F95" s="19" t="s">
        <v>13</v>
      </c>
      <c r="G95" s="19" t="str">
        <f>Personal!H72</f>
        <v>AGENTE</v>
      </c>
      <c r="H95" s="54">
        <v>0.4166666666666667</v>
      </c>
      <c r="I95" s="54" t="str">
        <f t="shared" si="126"/>
        <v>19:00</v>
      </c>
      <c r="J95" s="54">
        <v>0.5833333333333334</v>
      </c>
      <c r="K95" s="54" t="str">
        <f>IF(G95="AGENTE",Tabla1[[#This Row],[1 Inicio Almuerzo Lunes]]+0.042,IF(G95="REDES",Tabla1[[#This Row],[1 Inicio Almuerzo Lunes]]+0.042,IF(G95="AGENTE RM",Tabla1[[#This Row],[1 Inicio Almuerzo Lunes]]+0.042,IF(G95="AGENTE APERTURA",Tabla1[[#This Row],[1 Inicio Almuerzo Lunes]]+0.021,IF(G95="AGENTE CIERRE",Tabla1[[#This Row],[1 Inicio Almuerzo Lunes]]+0.021," - ")))))</f>
        <v>#ERROR!</v>
      </c>
      <c r="L95" s="54">
        <v>0.4791666666666667</v>
      </c>
      <c r="M95" s="54" t="str">
        <f>IF(G95="AGENTE",Tabla1[[#This Row],[1 Incio Break 1 Lunes]]+0.014,IF(G95="REDES",Tabla1[[#This Row],[1 Incio Break 1 Lunes]]+0.014,IF(G95="AGENTE RM",Tabla1[[#This Row],[1 Incio Break 1 Lunes]]+0.014,IF(G95="AGENTE APERTURA",Tabla1[[#This Row],[1 Incio Break 1 Lunes]]+0.014,IF(G95="AGENTE CIERRE",Tabla1[[#This Row],[1 Incio Break 1 Lunes]]+0.014," - ")))))</f>
        <v>#ERROR!</v>
      </c>
      <c r="N95" s="54">
        <v>0.6979166666666666</v>
      </c>
      <c r="O95" s="54" t="str">
        <f>IF(G95="AGENTE",Tabla1[[#This Row],[1 Incio Break 2 Lunes]]+0.007,IF(G95="REDES",Tabla1[[#This Row],[1 Incio Break 2 Lunes]]+0.007,IF(G95="AGENTE RM",Tabla1[[#This Row],[1 Incio Break 2 Lunes]]+0.007,IF(G95="AGENTE APERTURA",Tabla1[[#This Row],[1 Incio Break 2 Lunes]]+0.007,IF(G95="AGENTE CIERRE",Tabla1[[#This Row],[1 Incio Break 2 Lunes]]+0.007," - ")))))</f>
        <v>#ERROR!</v>
      </c>
      <c r="P95" s="55" t="str">
        <f t="shared" si="127"/>
        <v>8.0</v>
      </c>
      <c r="Q95" s="54">
        <v>0.5</v>
      </c>
      <c r="R95" s="54" t="str">
        <f t="shared" si="128"/>
        <v>17:00</v>
      </c>
      <c r="S95" s="56"/>
      <c r="T95" s="56"/>
      <c r="U95" s="54">
        <v>0.5833333333333334</v>
      </c>
      <c r="V95" s="54" t="str">
        <f t="shared" si="129"/>
        <v>14:30</v>
      </c>
      <c r="W95" s="56"/>
      <c r="X95" s="56"/>
      <c r="Y95" s="55" t="str">
        <f t="shared" si="130"/>
        <v>5.0</v>
      </c>
      <c r="Z95" s="55" t="str">
        <f t="shared" ref="Z95:AC95" si="135">$P95</f>
        <v>8.0</v>
      </c>
      <c r="AA95" s="55" t="str">
        <f t="shared" si="135"/>
        <v>8.0</v>
      </c>
      <c r="AB95" s="55" t="str">
        <f t="shared" si="135"/>
        <v>8.0</v>
      </c>
      <c r="AC95" s="55" t="str">
        <f t="shared" si="135"/>
        <v>8.0</v>
      </c>
    </row>
    <row r="96" ht="15.75" customHeight="1">
      <c r="E96" s="19" t="str">
        <f>Personal!G73</f>
        <v>Johanna Elizabeth Rodriguez Bustamante</v>
      </c>
      <c r="F96" s="19" t="s">
        <v>13</v>
      </c>
      <c r="G96" s="19" t="str">
        <f>Personal!H73</f>
        <v>AGENTE</v>
      </c>
      <c r="H96" s="51">
        <v>0.3333333333333333</v>
      </c>
      <c r="I96" s="51" t="str">
        <f t="shared" si="126"/>
        <v>17:00</v>
      </c>
      <c r="J96" s="51">
        <v>0.5416666666666666</v>
      </c>
      <c r="K96" s="51" t="str">
        <f>IF(G96="AGENTE",Tabla1[[#This Row],[1 Inicio Almuerzo Lunes]]+0.042,IF(G96="REDES",Tabla1[[#This Row],[1 Inicio Almuerzo Lunes]]+0.042,IF(G96="AGENTE RM",Tabla1[[#This Row],[1 Inicio Almuerzo Lunes]]+0.042,IF(G96="AGENTE APERTURA",Tabla1[[#This Row],[1 Inicio Almuerzo Lunes]]+0.021,IF(G96="AGENTE CIERRE",Tabla1[[#This Row],[1 Inicio Almuerzo Lunes]]+0.021," - ")))))</f>
        <v>#ERROR!</v>
      </c>
      <c r="L96" s="51">
        <v>0.40625</v>
      </c>
      <c r="M96" s="51" t="str">
        <f>IF(G96="AGENTE",Tabla1[[#This Row],[1 Incio Break 1 Lunes]]+0.014,IF(G96="REDES",Tabla1[[#This Row],[1 Incio Break 1 Lunes]]+0.014,IF(G96="AGENTE RM",Tabla1[[#This Row],[1 Incio Break 1 Lunes]]+0.014,IF(G96="AGENTE APERTURA",Tabla1[[#This Row],[1 Incio Break 1 Lunes]]+0.014,IF(G96="AGENTE CIERRE",Tabla1[[#This Row],[1 Incio Break 1 Lunes]]+0.014," - ")))))</f>
        <v>#ERROR!</v>
      </c>
      <c r="N96" s="51">
        <v>0.6770833333333334</v>
      </c>
      <c r="O96" s="51" t="str">
        <f>IF(G96="AGENTE",Tabla1[[#This Row],[1 Incio Break 2 Lunes]]+0.007,IF(G96="REDES",Tabla1[[#This Row],[1 Incio Break 2 Lunes]]+0.007,IF(G96="AGENTE RM",Tabla1[[#This Row],[1 Incio Break 2 Lunes]]+0.007,IF(G96="AGENTE APERTURA",Tabla1[[#This Row],[1 Incio Break 2 Lunes]]+0.007,IF(G96="AGENTE CIERRE",Tabla1[[#This Row],[1 Incio Break 2 Lunes]]+0.007," - ")))))</f>
        <v>#ERROR!</v>
      </c>
      <c r="P96" s="52" t="str">
        <f t="shared" si="127"/>
        <v>8.0</v>
      </c>
      <c r="Q96" s="51">
        <v>0.5416666666666666</v>
      </c>
      <c r="R96" s="51" t="str">
        <f t="shared" si="128"/>
        <v>18:00</v>
      </c>
      <c r="S96" s="53"/>
      <c r="T96" s="53"/>
      <c r="U96" s="51">
        <v>0.625</v>
      </c>
      <c r="V96" s="51" t="str">
        <f t="shared" si="129"/>
        <v>15:30</v>
      </c>
      <c r="W96" s="53"/>
      <c r="X96" s="53"/>
      <c r="Y96" s="52" t="str">
        <f t="shared" si="130"/>
        <v>5.0</v>
      </c>
      <c r="Z96" s="52" t="str">
        <f t="shared" ref="Z96:AC96" si="136">$P96</f>
        <v>8.0</v>
      </c>
      <c r="AA96" s="52" t="str">
        <f t="shared" si="136"/>
        <v>8.0</v>
      </c>
      <c r="AB96" s="52" t="str">
        <f t="shared" si="136"/>
        <v>8.0</v>
      </c>
      <c r="AC96" s="52" t="str">
        <f t="shared" si="136"/>
        <v>8.0</v>
      </c>
    </row>
    <row r="97" ht="15.75" customHeight="1">
      <c r="E97" s="19" t="str">
        <f>Personal!G74</f>
        <v>Rosbin Omar Salazar Pacay</v>
      </c>
      <c r="F97" s="19" t="s">
        <v>13</v>
      </c>
      <c r="G97" s="19" t="str">
        <f>Personal!H74</f>
        <v>AGENTE</v>
      </c>
      <c r="H97" s="54">
        <v>0.3333333333333333</v>
      </c>
      <c r="I97" s="54" t="str">
        <f t="shared" si="126"/>
        <v>17:00</v>
      </c>
      <c r="J97" s="54">
        <v>0.5833333333333334</v>
      </c>
      <c r="K97" s="54" t="str">
        <f>IF(G97="AGENTE",Tabla1[[#This Row],[1 Inicio Almuerzo Lunes]]+0.042,IF(G97="REDES",Tabla1[[#This Row],[1 Inicio Almuerzo Lunes]]+0.042,IF(G97="AGENTE RM",Tabla1[[#This Row],[1 Inicio Almuerzo Lunes]]+0.042,IF(G97="AGENTE APERTURA",Tabla1[[#This Row],[1 Inicio Almuerzo Lunes]]+0.021,IF(G97="AGENTE CIERRE",Tabla1[[#This Row],[1 Inicio Almuerzo Lunes]]+0.021," - ")))))</f>
        <v>#ERROR!</v>
      </c>
      <c r="L97" s="54">
        <v>0.3958333333333333</v>
      </c>
      <c r="M97" s="54" t="str">
        <f>IF(G97="AGENTE",Tabla1[[#This Row],[1 Incio Break 1 Lunes]]+0.014,IF(G97="REDES",Tabla1[[#This Row],[1 Incio Break 1 Lunes]]+0.014,IF(G97="AGENTE RM",Tabla1[[#This Row],[1 Incio Break 1 Lunes]]+0.014,IF(G97="AGENTE APERTURA",Tabla1[[#This Row],[1 Incio Break 1 Lunes]]+0.014,IF(G97="AGENTE CIERRE",Tabla1[[#This Row],[1 Incio Break 1 Lunes]]+0.014," - ")))))</f>
        <v>#ERROR!</v>
      </c>
      <c r="N97" s="54">
        <v>0.6666666666666666</v>
      </c>
      <c r="O97" s="54" t="str">
        <f>IF(G97="AGENTE",Tabla1[[#This Row],[1 Incio Break 2 Lunes]]+0.007,IF(G97="REDES",Tabla1[[#This Row],[1 Incio Break 2 Lunes]]+0.007,IF(G97="AGENTE RM",Tabla1[[#This Row],[1 Incio Break 2 Lunes]]+0.007,IF(G97="AGENTE APERTURA",Tabla1[[#This Row],[1 Incio Break 2 Lunes]]+0.007,IF(G97="AGENTE CIERRE",Tabla1[[#This Row],[1 Incio Break 2 Lunes]]+0.007," - ")))))</f>
        <v>#ERROR!</v>
      </c>
      <c r="P97" s="55" t="str">
        <f t="shared" si="127"/>
        <v>8.0</v>
      </c>
      <c r="Q97" s="54">
        <v>0.5416666666666666</v>
      </c>
      <c r="R97" s="54" t="str">
        <f t="shared" si="128"/>
        <v>18:00</v>
      </c>
      <c r="S97" s="54"/>
      <c r="T97" s="54"/>
      <c r="U97" s="54">
        <v>0.6041666666666666</v>
      </c>
      <c r="V97" s="54" t="str">
        <f t="shared" si="129"/>
        <v>15:00</v>
      </c>
      <c r="W97" s="54"/>
      <c r="X97" s="54"/>
      <c r="Y97" s="55" t="str">
        <f t="shared" si="130"/>
        <v>5.0</v>
      </c>
      <c r="Z97" s="55" t="str">
        <f t="shared" ref="Z97:AC97" si="137">$P97</f>
        <v>8.0</v>
      </c>
      <c r="AA97" s="55" t="str">
        <f t="shared" si="137"/>
        <v>8.0</v>
      </c>
      <c r="AB97" s="55" t="str">
        <f t="shared" si="137"/>
        <v>8.0</v>
      </c>
      <c r="AC97" s="55" t="str">
        <f t="shared" si="137"/>
        <v>8.0</v>
      </c>
    </row>
    <row r="98" ht="15.75" customHeight="1">
      <c r="E98" s="19" t="str">
        <f>Personal!G75</f>
        <v>-</v>
      </c>
      <c r="F98" s="19" t="s">
        <v>13</v>
      </c>
      <c r="G98" s="19" t="s">
        <v>41</v>
      </c>
      <c r="H98" s="51"/>
      <c r="I98" s="51"/>
      <c r="J98" s="51"/>
      <c r="K98" s="51" t="str">
        <f>IF(G98="AGENTE",Tabla1[[#This Row],[1 Inicio Almuerzo Lunes]]+0.042,IF(G98="REDES",Tabla1[[#This Row],[1 Inicio Almuerzo Lunes]]+0.042,IF(G98="AGENTE RM",Tabla1[[#This Row],[1 Inicio Almuerzo Lunes]]+0.042,IF(G98="AGENTE APERTURA",Tabla1[[#This Row],[1 Inicio Almuerzo Lunes]]+0.021,IF(G98="AGENTE CIERRE",Tabla1[[#This Row],[1 Inicio Almuerzo Lunes]]+0.021," - ")))))</f>
        <v>#ERROR!</v>
      </c>
      <c r="L98" s="51"/>
      <c r="M98" s="51" t="str">
        <f>IF(G98="AGENTE",Tabla1[[#This Row],[1 Incio Break 1 Lunes]]+0.014,IF(G98="REDES",Tabla1[[#This Row],[1 Incio Break 1 Lunes]]+0.014,IF(G98="AGENTE RM",Tabla1[[#This Row],[1 Incio Break 1 Lunes]]+0.014,IF(G98="AGENTE APERTURA",Tabla1[[#This Row],[1 Incio Break 1 Lunes]]+0.014,IF(G98="AGENTE CIERRE",Tabla1[[#This Row],[1 Incio Break 1 Lunes]]+0.014," - ")))))</f>
        <v>#ERROR!</v>
      </c>
      <c r="N98" s="51"/>
      <c r="O98" s="51" t="str">
        <f>IF(G98="AGENTE",Tabla1[[#This Row],[1 Incio Break 2 Lunes]]+0.007,IF(G98="REDES",Tabla1[[#This Row],[1 Incio Break 2 Lunes]]+0.007,IF(G98="AGENTE RM",Tabla1[[#This Row],[1 Incio Break 2 Lunes]]+0.007,IF(G98="AGENTE APERTURA",Tabla1[[#This Row],[1 Incio Break 2 Lunes]]+0.007,IF(G98="AGENTE CIERRE",Tabla1[[#This Row],[1 Incio Break 2 Lunes]]+0.007," - ")))))</f>
        <v>#ERROR!</v>
      </c>
      <c r="P98" s="52" t="str">
        <f t="shared" si="127"/>
        <v>-1.0</v>
      </c>
      <c r="Q98" s="51"/>
      <c r="R98" s="51"/>
      <c r="S98" s="53"/>
      <c r="T98" s="53" t="str">
        <f>IF(G98="AGENTE",Tabla1[[#This Row],[1 Inicio AlmuerzoSabado]]+0.042,IF(G98="REDES",Tabla1[[#This Row],[1 Inicio AlmuerzoSabado]]+0.042,IF(G98="AGENTE RM",Tabla1[[#This Row],[1 Inicio AlmuerzoSabado]]+0.042,IF(G98="AGENTE APERTURA",Tabla1[[#This Row],[1 Inicio AlmuerzoSabado]]+0.021,IF(G98="AGENTE CIERRE",Tabla1[[#This Row],[1 Inicio AlmuerzoSabado]]+0.021," - ")))))</f>
        <v>#ERROR!</v>
      </c>
      <c r="U98" s="51"/>
      <c r="V98" s="51"/>
      <c r="W98" s="53"/>
      <c r="X98" s="53"/>
      <c r="Y98" s="52" t="str">
        <f t="shared" si="130"/>
        <v>0.0</v>
      </c>
      <c r="Z98" s="52" t="str">
        <f t="shared" ref="Z98:AC98" si="138">$P98</f>
        <v>-1.0</v>
      </c>
      <c r="AA98" s="52" t="str">
        <f t="shared" si="138"/>
        <v>-1.0</v>
      </c>
      <c r="AB98" s="52" t="str">
        <f t="shared" si="138"/>
        <v>-1.0</v>
      </c>
      <c r="AC98" s="52" t="str">
        <f t="shared" si="138"/>
        <v>-1.0</v>
      </c>
    </row>
    <row r="99" ht="15.75" customHeight="1">
      <c r="E99" s="19" t="str">
        <f>Personal!G76</f>
        <v>Cristian Manuel Lopez Chavez</v>
      </c>
      <c r="F99" s="19" t="s">
        <v>13</v>
      </c>
      <c r="G99" s="19" t="str">
        <f>Personal!H76</f>
        <v>AGENTE</v>
      </c>
      <c r="H99" s="54">
        <v>0.2916666666666667</v>
      </c>
      <c r="I99" s="54" t="str">
        <f>IF(H99=0," ",IF(Q99=0,(H99+0.417),(H99+0.3756)))</f>
        <v>16:00</v>
      </c>
      <c r="J99" s="54">
        <v>0.5</v>
      </c>
      <c r="K99" s="54" t="str">
        <f>IF(G99="AGENTE",Tabla1[[#This Row],[1 Inicio Almuerzo Lunes]]+0.042,IF(G99="REDES",Tabla1[[#This Row],[1 Inicio Almuerzo Lunes]]+0.042,IF(G99="AGENTE RM",Tabla1[[#This Row],[1 Inicio Almuerzo Lunes]]+0.042,IF(G99="AGENTE APERTURA",Tabla1[[#This Row],[1 Inicio Almuerzo Lunes]]+0.021,IF(G99="AGENTE CIERRE",Tabla1[[#This Row],[1 Inicio Almuerzo Lunes]]+0.021," - ")))))</f>
        <v>#ERROR!</v>
      </c>
      <c r="L99" s="54">
        <v>0.3645833333333333</v>
      </c>
      <c r="M99" s="54" t="str">
        <f>IF(G99="AGENTE",Tabla1[[#This Row],[1 Incio Break 1 Lunes]]+0.014,IF(G99="REDES",Tabla1[[#This Row],[1 Incio Break 1 Lunes]]+0.014,IF(G99="AGENTE RM",Tabla1[[#This Row],[1 Incio Break 1 Lunes]]+0.014,IF(G99="AGENTE APERTURA",Tabla1[[#This Row],[1 Incio Break 1 Lunes]]+0.014,IF(G99="AGENTE CIERRE",Tabla1[[#This Row],[1 Incio Break 1 Lunes]]+0.014," - ")))))</f>
        <v>#ERROR!</v>
      </c>
      <c r="N99" s="54">
        <v>0.6458333333333334</v>
      </c>
      <c r="O99" s="54" t="str">
        <f>IF(G99="AGENTE",Tabla1[[#This Row],[1 Incio Break 2 Lunes]]+0.007,IF(G99="REDES",Tabla1[[#This Row],[1 Incio Break 2 Lunes]]+0.007,IF(G99="AGENTE RM",Tabla1[[#This Row],[1 Incio Break 2 Lunes]]+0.007,IF(G99="AGENTE APERTURA",Tabla1[[#This Row],[1 Incio Break 2 Lunes]]+0.007,IF(G99="AGENTE CIERRE",Tabla1[[#This Row],[1 Incio Break 2 Lunes]]+0.007," - ")))))</f>
        <v>#ERROR!</v>
      </c>
      <c r="P99" s="55" t="str">
        <f t="shared" si="127"/>
        <v>8.0</v>
      </c>
      <c r="Q99" s="54">
        <v>0.5</v>
      </c>
      <c r="R99" s="54" t="str">
        <f>IF(Q99=0,"",Q99+0.209)</f>
        <v>17:00</v>
      </c>
      <c r="S99" s="56"/>
      <c r="T99" s="56"/>
      <c r="U99" s="54">
        <v>0.5</v>
      </c>
      <c r="V99" s="54" t="str">
        <f>IF(U99=0,"",U99+0.021)</f>
        <v>12:30</v>
      </c>
      <c r="W99" s="56"/>
      <c r="X99" s="56"/>
      <c r="Y99" s="55" t="str">
        <f t="shared" si="130"/>
        <v>5.0</v>
      </c>
      <c r="Z99" s="55" t="str">
        <f t="shared" ref="Z99:AC99" si="139">$P99</f>
        <v>8.0</v>
      </c>
      <c r="AA99" s="55" t="str">
        <f t="shared" si="139"/>
        <v>8.0</v>
      </c>
      <c r="AB99" s="55" t="str">
        <f t="shared" si="139"/>
        <v>8.0</v>
      </c>
      <c r="AC99" s="55" t="str">
        <f t="shared" si="139"/>
        <v>8.0</v>
      </c>
    </row>
    <row r="100" ht="15.75" customHeight="1">
      <c r="E100" s="19" t="str">
        <f>Personal!G77</f>
        <v>-</v>
      </c>
      <c r="F100" s="19" t="s">
        <v>13</v>
      </c>
      <c r="G100" s="19" t="s">
        <v>41</v>
      </c>
      <c r="H100" s="51"/>
      <c r="I100" s="51"/>
      <c r="J100" s="51"/>
      <c r="K100" s="51" t="str">
        <f>IF(G100="AGENTE",Tabla1[[#This Row],[1 Inicio Almuerzo Lunes]]+0.042,IF(G100="REDES",Tabla1[[#This Row],[1 Inicio Almuerzo Lunes]]+0.042,IF(G100="AGENTE RM",Tabla1[[#This Row],[1 Inicio Almuerzo Lunes]]+0.042,IF(G100="AGENTE APERTURA",Tabla1[[#This Row],[1 Inicio Almuerzo Lunes]]+0.021,IF(G100="AGENTE CIERRE",Tabla1[[#This Row],[1 Inicio Almuerzo Lunes]]+0.021," - ")))))</f>
        <v>#ERROR!</v>
      </c>
      <c r="L100" s="51"/>
      <c r="M100" s="51" t="str">
        <f>IF(G100="AGENTE",Tabla1[[#This Row],[1 Incio Break 1 Lunes]]+0.014,IF(G100="REDES",Tabla1[[#This Row],[1 Incio Break 1 Lunes]]+0.014,IF(G100="AGENTE RM",Tabla1[[#This Row],[1 Incio Break 1 Lunes]]+0.014,IF(G100="AGENTE APERTURA",Tabla1[[#This Row],[1 Incio Break 1 Lunes]]+0.014,IF(G100="AGENTE CIERRE",Tabla1[[#This Row],[1 Incio Break 1 Lunes]]+0.014," - ")))))</f>
        <v>#ERROR!</v>
      </c>
      <c r="N100" s="51"/>
      <c r="O100" s="51" t="str">
        <f>IF(G100="AGENTE",Tabla1[[#This Row],[1 Incio Break 2 Lunes]]+0.007,IF(G100="REDES",Tabla1[[#This Row],[1 Incio Break 2 Lunes]]+0.007,IF(G100="AGENTE RM",Tabla1[[#This Row],[1 Incio Break 2 Lunes]]+0.007,IF(G100="AGENTE APERTURA",Tabla1[[#This Row],[1 Incio Break 2 Lunes]]+0.007,IF(G100="AGENTE CIERRE",Tabla1[[#This Row],[1 Incio Break 2 Lunes]]+0.007," - ")))))</f>
        <v>#ERROR!</v>
      </c>
      <c r="P100" s="52" t="str">
        <f t="shared" si="127"/>
        <v>-1.0</v>
      </c>
      <c r="Q100" s="51"/>
      <c r="R100" s="51"/>
      <c r="S100" s="53"/>
      <c r="T100" s="53" t="str">
        <f>IF(G100="AGENTE",Tabla1[[#This Row],[1 Inicio AlmuerzoSabado]]+0.042,IF(G100="REDES",Tabla1[[#This Row],[1 Inicio AlmuerzoSabado]]+0.042,IF(G100="AGENTE RM",Tabla1[[#This Row],[1 Inicio AlmuerzoSabado]]+0.042,IF(G100="AGENTE APERTURA",Tabla1[[#This Row],[1 Inicio AlmuerzoSabado]]+0.021,IF(G100="AGENTE CIERRE",Tabla1[[#This Row],[1 Inicio AlmuerzoSabado]]+0.021," - ")))))</f>
        <v>#ERROR!</v>
      </c>
      <c r="U100" s="51"/>
      <c r="V100" s="51"/>
      <c r="W100" s="53"/>
      <c r="X100" s="53"/>
      <c r="Y100" s="52" t="str">
        <f t="shared" si="130"/>
        <v>0.0</v>
      </c>
      <c r="Z100" s="52" t="str">
        <f t="shared" ref="Z100:AC100" si="140">$P100</f>
        <v>-1.0</v>
      </c>
      <c r="AA100" s="52" t="str">
        <f t="shared" si="140"/>
        <v>-1.0</v>
      </c>
      <c r="AB100" s="52" t="str">
        <f t="shared" si="140"/>
        <v>-1.0</v>
      </c>
      <c r="AC100" s="52" t="str">
        <f t="shared" si="140"/>
        <v>-1.0</v>
      </c>
    </row>
    <row r="101" ht="15.75" customHeight="1">
      <c r="E101" s="19" t="str">
        <f>Personal!G78</f>
        <v>Melanee Sucely Lopez Castro</v>
      </c>
      <c r="F101" s="19" t="s">
        <v>13</v>
      </c>
      <c r="G101" s="19" t="str">
        <f>Personal!H78</f>
        <v>AGENTE</v>
      </c>
      <c r="H101" s="54">
        <v>0.3125</v>
      </c>
      <c r="I101" s="54" t="str">
        <f t="shared" ref="I101:I102" si="142">IF(H101=0," ",IF(Q101=0,(H101+0.417),(H101+0.3756)))</f>
        <v>16:30</v>
      </c>
      <c r="J101" s="54">
        <v>0.5416666666666666</v>
      </c>
      <c r="K101" s="54" t="str">
        <f>IF(G101="AGENTE",Tabla1[[#This Row],[1 Inicio Almuerzo Lunes]]+0.042,IF(G101="REDES",Tabla1[[#This Row],[1 Inicio Almuerzo Lunes]]+0.042,IF(G101="AGENTE RM",Tabla1[[#This Row],[1 Inicio Almuerzo Lunes]]+0.042,IF(G101="AGENTE APERTURA",Tabla1[[#This Row],[1 Inicio Almuerzo Lunes]]+0.021,IF(G101="AGENTE CIERRE",Tabla1[[#This Row],[1 Inicio Almuerzo Lunes]]+0.021," - ")))))</f>
        <v>#ERROR!</v>
      </c>
      <c r="L101" s="54">
        <v>0.3645833333333333</v>
      </c>
      <c r="M101" s="54" t="str">
        <f>IF(G101="AGENTE",Tabla1[[#This Row],[1 Incio Break 1 Lunes]]+0.014,IF(G101="REDES",Tabla1[[#This Row],[1 Incio Break 1 Lunes]]+0.014,IF(G101="AGENTE RM",Tabla1[[#This Row],[1 Incio Break 1 Lunes]]+0.014,IF(G101="AGENTE APERTURA",Tabla1[[#This Row],[1 Incio Break 1 Lunes]]+0.014,IF(G101="AGENTE CIERRE",Tabla1[[#This Row],[1 Incio Break 1 Lunes]]+0.014," - ")))))</f>
        <v>#ERROR!</v>
      </c>
      <c r="N101" s="54">
        <v>0.625</v>
      </c>
      <c r="O101" s="54" t="str">
        <f>IF(G101="AGENTE",Tabla1[[#This Row],[1 Incio Break 2 Lunes]]+0.007,IF(G101="REDES",Tabla1[[#This Row],[1 Incio Break 2 Lunes]]+0.007,IF(G101="AGENTE RM",Tabla1[[#This Row],[1 Incio Break 2 Lunes]]+0.007,IF(G101="AGENTE APERTURA",Tabla1[[#This Row],[1 Incio Break 2 Lunes]]+0.007,IF(G101="AGENTE CIERRE",Tabla1[[#This Row],[1 Incio Break 2 Lunes]]+0.007," - ")))))</f>
        <v>#ERROR!</v>
      </c>
      <c r="P101" s="55" t="str">
        <f t="shared" si="127"/>
        <v>8.0</v>
      </c>
      <c r="Q101" s="54">
        <v>0.3333333333333333</v>
      </c>
      <c r="R101" s="54" t="str">
        <f t="shared" ref="R101:R102" si="143">IF(Q101=0,"",Q101+0.209)</f>
        <v>13:00</v>
      </c>
      <c r="S101" s="54"/>
      <c r="T101" s="54"/>
      <c r="U101" s="54">
        <v>0.4166666666666667</v>
      </c>
      <c r="V101" s="54" t="str">
        <f t="shared" ref="V101:V104" si="144">IF(U101=0,"",U101+0.021)</f>
        <v>10:30</v>
      </c>
      <c r="W101" s="54"/>
      <c r="X101" s="54"/>
      <c r="Y101" s="55" t="str">
        <f t="shared" si="130"/>
        <v>5.0</v>
      </c>
      <c r="Z101" s="55" t="str">
        <f t="shared" ref="Z101:AC101" si="141">$P101</f>
        <v>8.0</v>
      </c>
      <c r="AA101" s="55" t="str">
        <f t="shared" si="141"/>
        <v>8.0</v>
      </c>
      <c r="AB101" s="55" t="str">
        <f t="shared" si="141"/>
        <v>8.0</v>
      </c>
      <c r="AC101" s="55" t="str">
        <f t="shared" si="141"/>
        <v>8.0</v>
      </c>
    </row>
    <row r="102" ht="15.75" customHeight="1">
      <c r="E102" s="19" t="str">
        <f>Personal!G79</f>
        <v>Byron Estuardo Grijalva Salguero</v>
      </c>
      <c r="F102" s="19" t="s">
        <v>13</v>
      </c>
      <c r="G102" s="19" t="str">
        <f>Personal!H79</f>
        <v>AGENTE</v>
      </c>
      <c r="H102" s="51">
        <v>0.375</v>
      </c>
      <c r="I102" s="51" t="str">
        <f t="shared" si="142"/>
        <v>18:00</v>
      </c>
      <c r="J102" s="51">
        <v>0.5833333333333334</v>
      </c>
      <c r="K102" s="51" t="str">
        <f>IF(G102="AGENTE",Tabla1[[#This Row],[1 Inicio Almuerzo Lunes]]+0.042,IF(G102="REDES",Tabla1[[#This Row],[1 Inicio Almuerzo Lunes]]+0.042,IF(G102="AGENTE RM",Tabla1[[#This Row],[1 Inicio Almuerzo Lunes]]+0.042,IF(G102="AGENTE APERTURA",Tabla1[[#This Row],[1 Inicio Almuerzo Lunes]]+0.021,IF(G102="AGENTE CIERRE",Tabla1[[#This Row],[1 Inicio Almuerzo Lunes]]+0.021," - ")))))</f>
        <v>#ERROR!</v>
      </c>
      <c r="L102" s="51">
        <v>0.40625</v>
      </c>
      <c r="M102" s="51" t="str">
        <f>IF(G102="AGENTE",Tabla1[[#This Row],[1 Incio Break 1 Lunes]]+0.014,IF(G102="REDES",Tabla1[[#This Row],[1 Incio Break 1 Lunes]]+0.014,IF(G102="AGENTE RM",Tabla1[[#This Row],[1 Incio Break 1 Lunes]]+0.014,IF(G102="AGENTE APERTURA",Tabla1[[#This Row],[1 Incio Break 1 Lunes]]+0.014,IF(G102="AGENTE CIERRE",Tabla1[[#This Row],[1 Incio Break 1 Lunes]]+0.014," - ")))))</f>
        <v>#ERROR!</v>
      </c>
      <c r="N102" s="51">
        <v>0.6979166666666666</v>
      </c>
      <c r="O102" s="51" t="str">
        <f>IF(G102="AGENTE",Tabla1[[#This Row],[1 Incio Break 2 Lunes]]+0.007,IF(G102="REDES",Tabla1[[#This Row],[1 Incio Break 2 Lunes]]+0.007,IF(G102="AGENTE RM",Tabla1[[#This Row],[1 Incio Break 2 Lunes]]+0.007,IF(G102="AGENTE APERTURA",Tabla1[[#This Row],[1 Incio Break 2 Lunes]]+0.007,IF(G102="AGENTE CIERRE",Tabla1[[#This Row],[1 Incio Break 2 Lunes]]+0.007," - ")))))</f>
        <v>#ERROR!</v>
      </c>
      <c r="P102" s="52" t="str">
        <f t="shared" si="127"/>
        <v>8.0</v>
      </c>
      <c r="Q102" s="51">
        <v>0.2916666666666667</v>
      </c>
      <c r="R102" s="51" t="str">
        <f t="shared" si="143"/>
        <v>12:00</v>
      </c>
      <c r="S102" s="53"/>
      <c r="T102" s="53"/>
      <c r="U102" s="51">
        <v>0.3958333333333333</v>
      </c>
      <c r="V102" s="51" t="str">
        <f t="shared" si="144"/>
        <v>10:00</v>
      </c>
      <c r="W102" s="53"/>
      <c r="X102" s="53"/>
      <c r="Y102" s="52" t="str">
        <f t="shared" si="130"/>
        <v>5.0</v>
      </c>
      <c r="Z102" s="52" t="str">
        <f t="shared" ref="Z102:AC102" si="145">$P102</f>
        <v>8.0</v>
      </c>
      <c r="AA102" s="52" t="str">
        <f t="shared" si="145"/>
        <v>8.0</v>
      </c>
      <c r="AB102" s="52" t="str">
        <f t="shared" si="145"/>
        <v>8.0</v>
      </c>
      <c r="AC102" s="52" t="str">
        <f t="shared" si="145"/>
        <v>8.0</v>
      </c>
    </row>
    <row r="103" ht="15.75" customHeight="1">
      <c r="E103" s="19" t="str">
        <f>Personal!G80</f>
        <v>Katherine Johana Chavez Deleon</v>
      </c>
      <c r="F103" s="19" t="s">
        <v>13</v>
      </c>
      <c r="G103" s="19" t="str">
        <f>Personal!H80</f>
        <v>AGENTE CIERRE</v>
      </c>
      <c r="H103" s="54">
        <v>0.6666666666666666</v>
      </c>
      <c r="I103" s="54">
        <v>0.9583333333333334</v>
      </c>
      <c r="J103" s="54">
        <v>0.875</v>
      </c>
      <c r="K103" s="54" t="str">
        <f>IF(G103="AGENTE",Tabla1[[#This Row],[1 Inicio Almuerzo Lunes]]+0.042,IF(G103="REDES",Tabla1[[#This Row],[1 Inicio Almuerzo Lunes]]+0.042,IF(G103="AGENTE RM",Tabla1[[#This Row],[1 Inicio Almuerzo Lunes]]+0.042,IF(G103="AGENTE APERTURA",Tabla1[[#This Row],[1 Inicio Almuerzo Lunes]]+0.021,IF(G103="AGENTE CIERRE",Tabla1[[#This Row],[1 Inicio Almuerzo Lunes]]+0.021," - ")))))</f>
        <v>#ERROR!</v>
      </c>
      <c r="L103" s="54">
        <v>0.8958333333333334</v>
      </c>
      <c r="M103" s="54" t="str">
        <f>IF(G103="AGENTE",Tabla1[[#This Row],[1 Incio Break 1 Lunes]]+0.014,IF(G103="REDES",Tabla1[[#This Row],[1 Incio Break 1 Lunes]]+0.014,IF(G103="AGENTE RM",Tabla1[[#This Row],[1 Incio Break 1 Lunes]]+0.014,IF(G103="AGENTE APERTURA",Tabla1[[#This Row],[1 Incio Break 1 Lunes]]+0.014,IF(G103="AGENTE CIERRE",Tabla1[[#This Row],[1 Incio Break 1 Lunes]]+0.014," - ")))))</f>
        <v>#ERROR!</v>
      </c>
      <c r="N103" s="54">
        <v>0.9097222222222222</v>
      </c>
      <c r="O103" s="54" t="str">
        <f>IF(G103="AGENTE",Tabla1[[#This Row],[1 Incio Break 2 Lunes]]+0.007,IF(G103="REDES",Tabla1[[#This Row],[1 Incio Break 2 Lunes]]+0.007,IF(G103="AGENTE RM",Tabla1[[#This Row],[1 Incio Break 2 Lunes]]+0.007,IF(G103="AGENTE APERTURA",Tabla1[[#This Row],[1 Incio Break 2 Lunes]]+0.007,IF(G103="AGENTE CIERRE",Tabla1[[#This Row],[1 Incio Break 2 Lunes]]+0.007," - ")))))</f>
        <v>#ERROR!</v>
      </c>
      <c r="P103" s="55" t="str">
        <f t="shared" si="127"/>
        <v>6.0</v>
      </c>
      <c r="Q103" s="54">
        <v>0.6666666666666666</v>
      </c>
      <c r="R103" s="54">
        <v>0.9583333333333334</v>
      </c>
      <c r="S103" s="54">
        <v>0.875</v>
      </c>
      <c r="T103" s="54" t="str">
        <f>IF(G103="AGENTE",Tabla1[[#This Row],[1 Inicio AlmuerzoSabado]]+0.042,IF(G103="REDES",Tabla1[[#This Row],[1 Inicio AlmuerzoSabado]]+0.042,IF(G103="AGENTE RM",Tabla1[[#This Row],[1 Inicio AlmuerzoSabado]]+0.042,IF(G103="AGENTE APERTURA",Tabla1[[#This Row],[1 Inicio AlmuerzoSabado]]+0.021,IF(G103="AGENTE CIERRE",Tabla1[[#This Row],[1 Inicio AlmuerzoSabado]]+0.021," - ")))))</f>
        <v>#ERROR!</v>
      </c>
      <c r="U103" s="54">
        <v>0.8958333333333334</v>
      </c>
      <c r="V103" s="54" t="str">
        <f t="shared" si="144"/>
        <v>22:00</v>
      </c>
      <c r="W103" s="54">
        <v>0.9097222222222222</v>
      </c>
      <c r="X103" s="54" t="str">
        <f>IF(G103="AGENTE",Tabla1[[#This Row],[1 Incio Break 2 Sabado]]+0.007,IF(G103="REDES",Tabla1[[#This Row],[1 Incio Break 2 Sabado]]+0.007,IF(G103="AGENTE RM",Tabla1[[#This Row],[1 Incio Break 2 Sabado]]+0.007,IF(G103="AGENTE APERTURA",Tabla1[[#This Row],[1 Incio Break 2 Sabado]]+0.007,IF(G103="AGENTE CIERRE",Tabla1[[#This Row],[1 Incio Break 2 Sabado]]+0.007," - ")))))</f>
        <v>#ERROR!</v>
      </c>
      <c r="Y103" s="55" t="str">
        <f t="shared" si="130"/>
        <v>7.0</v>
      </c>
      <c r="Z103" s="55" t="str">
        <f t="shared" ref="Z103:AC103" si="146">$P103</f>
        <v>6.0</v>
      </c>
      <c r="AA103" s="55" t="str">
        <f t="shared" si="146"/>
        <v>6.0</v>
      </c>
      <c r="AB103" s="55" t="str">
        <f t="shared" si="146"/>
        <v>6.0</v>
      </c>
      <c r="AC103" s="55" t="str">
        <f t="shared" si="146"/>
        <v>6.0</v>
      </c>
    </row>
    <row r="104" ht="15.75" customHeight="1">
      <c r="E104" s="19" t="str">
        <f>Personal!G81</f>
        <v>Cinthia Marbelly Lopez Zelada</v>
      </c>
      <c r="F104" s="19" t="s">
        <v>13</v>
      </c>
      <c r="G104" s="19" t="str">
        <f>Personal!H81</f>
        <v>AGENTE</v>
      </c>
      <c r="H104" s="51">
        <v>0.375</v>
      </c>
      <c r="I104" s="51" t="str">
        <f>IF(H104=0," ",IF(Q104=0,(H104+0.417),(H104+0.3756)))</f>
        <v>18:00</v>
      </c>
      <c r="J104" s="51">
        <v>0.5833333333333334</v>
      </c>
      <c r="K104" s="51" t="str">
        <f>IF(G104="AGENTE",Tabla1[[#This Row],[1 Inicio Almuerzo Lunes]]+0.042,IF(G104="REDES",Tabla1[[#This Row],[1 Inicio Almuerzo Lunes]]+0.042,IF(G104="AGENTE RM",Tabla1[[#This Row],[1 Inicio Almuerzo Lunes]]+0.042,IF(G104="AGENTE APERTURA",Tabla1[[#This Row],[1 Inicio Almuerzo Lunes]]+0.021,IF(G104="AGENTE CIERRE",Tabla1[[#This Row],[1 Inicio Almuerzo Lunes]]+0.021," - ")))))</f>
        <v>#ERROR!</v>
      </c>
      <c r="L104" s="51">
        <v>0.40625</v>
      </c>
      <c r="M104" s="51" t="str">
        <f>IF(G104="AGENTE",Tabla1[[#This Row],[1 Incio Break 1 Lunes]]+0.014,IF(G104="REDES",Tabla1[[#This Row],[1 Incio Break 1 Lunes]]+0.014,IF(G104="AGENTE RM",Tabla1[[#This Row],[1 Incio Break 1 Lunes]]+0.014,IF(G104="AGENTE APERTURA",Tabla1[[#This Row],[1 Incio Break 1 Lunes]]+0.014,IF(G104="AGENTE CIERRE",Tabla1[[#This Row],[1 Incio Break 1 Lunes]]+0.014," - ")))))</f>
        <v>#ERROR!</v>
      </c>
      <c r="N104" s="51">
        <v>0.6979166666666666</v>
      </c>
      <c r="O104" s="51" t="str">
        <f>IF(G104="AGENTE",Tabla1[[#This Row],[1 Incio Break 2 Lunes]]+0.007,IF(G104="REDES",Tabla1[[#This Row],[1 Incio Break 2 Lunes]]+0.007,IF(G104="AGENTE RM",Tabla1[[#This Row],[1 Incio Break 2 Lunes]]+0.007,IF(G104="AGENTE APERTURA",Tabla1[[#This Row],[1 Incio Break 2 Lunes]]+0.007,IF(G104="AGENTE CIERRE",Tabla1[[#This Row],[1 Incio Break 2 Lunes]]+0.007," - ")))))</f>
        <v>#ERROR!</v>
      </c>
      <c r="P104" s="52" t="str">
        <f t="shared" si="127"/>
        <v>8.0</v>
      </c>
      <c r="Q104" s="51">
        <v>0.4583333333333333</v>
      </c>
      <c r="R104" s="51" t="str">
        <f>IF(Q104=0,"",Q104+0.209)</f>
        <v>16:00</v>
      </c>
      <c r="S104" s="53"/>
      <c r="T104" s="53"/>
      <c r="U104" s="51">
        <v>0.5833333333333334</v>
      </c>
      <c r="V104" s="51" t="str">
        <f t="shared" si="144"/>
        <v>14:30</v>
      </c>
      <c r="W104" s="53"/>
      <c r="X104" s="53"/>
      <c r="Y104" s="52" t="str">
        <f t="shared" si="130"/>
        <v>5.0</v>
      </c>
      <c r="Z104" s="52" t="str">
        <f t="shared" ref="Z104:AC104" si="147">$P104</f>
        <v>8.0</v>
      </c>
      <c r="AA104" s="52" t="str">
        <f t="shared" si="147"/>
        <v>8.0</v>
      </c>
      <c r="AB104" s="52" t="str">
        <f t="shared" si="147"/>
        <v>8.0</v>
      </c>
      <c r="AC104" s="52" t="str">
        <f t="shared" si="147"/>
        <v>8.0</v>
      </c>
    </row>
    <row r="105" ht="15.75" customHeight="1">
      <c r="E105" s="19" t="str">
        <f>Personal!G82</f>
        <v>-</v>
      </c>
      <c r="F105" s="19" t="s">
        <v>13</v>
      </c>
      <c r="G105" s="19"/>
      <c r="H105" s="54"/>
      <c r="I105" s="54"/>
      <c r="J105" s="54"/>
      <c r="K105" s="54" t="str">
        <f>IF(G105="AGENTE",Tabla1[[#This Row],[1 Inicio Almuerzo Lunes]]+0.042,IF(G105="REDES",Tabla1[[#This Row],[1 Inicio Almuerzo Lunes]]+0.042,IF(G105="AGENTE RM",Tabla1[[#This Row],[1 Inicio Almuerzo Lunes]]+0.042,IF(G105="AGENTE APERTURA",Tabla1[[#This Row],[1 Inicio Almuerzo Lunes]]+0.021,IF(G105="AGENTE CIERRE",Tabla1[[#This Row],[1 Inicio Almuerzo Lunes]]+0.021," - ")))))</f>
        <v>#ERROR!</v>
      </c>
      <c r="L105" s="54"/>
      <c r="M105" s="54" t="str">
        <f>IF(G105="AGENTE",Tabla1[[#This Row],[1 Incio Break 1 Lunes]]+0.014,IF(G105="REDES",Tabla1[[#This Row],[1 Incio Break 1 Lunes]]+0.014,IF(G105="AGENTE RM",Tabla1[[#This Row],[1 Incio Break 1 Lunes]]+0.014,IF(G105="AGENTE APERTURA",Tabla1[[#This Row],[1 Incio Break 1 Lunes]]+0.014,IF(G105="AGENTE CIERRE",Tabla1[[#This Row],[1 Incio Break 1 Lunes]]+0.014," - ")))))</f>
        <v>#ERROR!</v>
      </c>
      <c r="N105" s="54"/>
      <c r="O105" s="54" t="str">
        <f>IF(G105="AGENTE",Tabla1[[#This Row],[1 Incio Break 2 Lunes]]+0.007,IF(G105="REDES",Tabla1[[#This Row],[1 Incio Break 2 Lunes]]+0.007,IF(G105="AGENTE RM",Tabla1[[#This Row],[1 Incio Break 2 Lunes]]+0.007,IF(G105="AGENTE APERTURA",Tabla1[[#This Row],[1 Incio Break 2 Lunes]]+0.007,IF(G105="AGENTE CIERRE",Tabla1[[#This Row],[1 Incio Break 2 Lunes]]+0.007," - ")))))</f>
        <v>#ERROR!</v>
      </c>
      <c r="P105" s="55"/>
      <c r="Q105" s="54"/>
      <c r="R105" s="54"/>
      <c r="S105" s="54"/>
      <c r="T105" s="54"/>
      <c r="U105" s="54"/>
      <c r="V105" s="54"/>
      <c r="W105" s="54"/>
      <c r="X105" s="54"/>
      <c r="Y105" s="55"/>
      <c r="Z105" s="55"/>
      <c r="AA105" s="55"/>
      <c r="AB105" s="55"/>
      <c r="AC105" s="55"/>
    </row>
    <row r="106" ht="15.75" customHeight="1">
      <c r="E106" t="s">
        <v>83</v>
      </c>
      <c r="G106" s="42" t="str">
        <f>COUNTIF(I$6:I$34,"15:30")</f>
        <v>0</v>
      </c>
      <c r="J106" s="45" t="s">
        <v>69</v>
      </c>
      <c r="K106" s="46" t="str">
        <f>COUNTIF(J$9:J$34,"14:30")</f>
        <v>0</v>
      </c>
      <c r="L106" s="45" t="s">
        <v>70</v>
      </c>
      <c r="M106" s="46" t="str">
        <f>COUNTIF(L$6:L$34,"8:30")</f>
        <v>1</v>
      </c>
      <c r="N106" s="45" t="s">
        <v>71</v>
      </c>
      <c r="O106" s="46" t="str">
        <f>COUNTIF(N$6:N$34,"15:45")</f>
        <v>1</v>
      </c>
      <c r="U106" t="s">
        <v>72</v>
      </c>
      <c r="V106" t="str">
        <f>COUNTIF(U$6:U$30,"10:00")</f>
        <v>1</v>
      </c>
    </row>
    <row r="107" ht="15.75" customHeight="1">
      <c r="E107" t="s">
        <v>88</v>
      </c>
      <c r="G107" s="42" t="str">
        <f>COUNTIF(I$6:I$34,"16:00")</f>
        <v>0</v>
      </c>
      <c r="J107" s="45" t="s">
        <v>74</v>
      </c>
      <c r="K107" s="46" t="str">
        <f>COUNTIF(J$9:J$34,"15:00")</f>
        <v>2</v>
      </c>
      <c r="L107" s="45" t="s">
        <v>75</v>
      </c>
      <c r="M107" s="46" t="str">
        <f>COUNTIF(L$6:L$34,"8:45")</f>
        <v>0</v>
      </c>
      <c r="N107" s="45" t="s">
        <v>76</v>
      </c>
      <c r="O107" s="46" t="str">
        <f>COUNTIF(N$6:N$34,"16:00")</f>
        <v>1</v>
      </c>
      <c r="U107" t="s">
        <v>77</v>
      </c>
      <c r="V107" t="str">
        <f>COUNTIF(U$6:U$30,"10:30")</f>
        <v>2</v>
      </c>
    </row>
    <row r="108" ht="15.75" customHeight="1">
      <c r="E108" t="s">
        <v>92</v>
      </c>
      <c r="G108" s="42" t="str">
        <f>COUNTIF(I$6:I$34,"16:30")</f>
        <v>0</v>
      </c>
      <c r="J108" s="45" t="s">
        <v>79</v>
      </c>
      <c r="K108" s="46" t="str">
        <f>COUNTIF(J$9:J$34,"15:30")</f>
        <v>0</v>
      </c>
      <c r="L108" s="45" t="s">
        <v>80</v>
      </c>
      <c r="M108" s="46" t="str">
        <f>COUNTIF(L$6:L$34,"9:00")</f>
        <v>0</v>
      </c>
      <c r="N108" s="45" t="s">
        <v>81</v>
      </c>
      <c r="O108" s="46" t="str">
        <f>COUNTIF(N$6:N$34,"16:15")</f>
        <v>0</v>
      </c>
      <c r="U108" t="s">
        <v>82</v>
      </c>
      <c r="V108" t="str">
        <f>COUNTIF(U$6:U$30,"11:00")</f>
        <v>1</v>
      </c>
    </row>
    <row r="109" ht="15.75" customHeight="1">
      <c r="E109" t="s">
        <v>96</v>
      </c>
      <c r="G109" s="42" t="str">
        <f>COUNTIF(I$6:I$34,"17:00")</f>
        <v>0</v>
      </c>
      <c r="J109" s="45" t="s">
        <v>84</v>
      </c>
      <c r="K109" s="46" t="str">
        <f>COUNTIF(J$9:J$34,"16:00")</f>
        <v>0</v>
      </c>
      <c r="L109" s="45" t="s">
        <v>85</v>
      </c>
      <c r="M109" s="46" t="str">
        <f>COUNTIF(L$6:L$34,"9:15")</f>
        <v>1</v>
      </c>
      <c r="N109" s="45" t="s">
        <v>86</v>
      </c>
      <c r="O109" s="46" t="str">
        <f>COUNTIF(N$6:N$34,"16:30")</f>
        <v>0</v>
      </c>
      <c r="U109" t="s">
        <v>87</v>
      </c>
      <c r="V109" t="str">
        <f>COUNTIF(U$6:U$30,"11:30")</f>
        <v>0</v>
      </c>
    </row>
    <row r="110" ht="15.75" customHeight="1">
      <c r="E110" t="s">
        <v>98</v>
      </c>
      <c r="G110" s="42" t="str">
        <f>COUNTIF(I$6:I$34,"18:00")</f>
        <v>0</v>
      </c>
      <c r="J110" s="45" t="s">
        <v>89</v>
      </c>
      <c r="K110" s="46"/>
      <c r="L110" s="45" t="s">
        <v>90</v>
      </c>
      <c r="M110" s="46" t="str">
        <f>COUNTIF(L$6:L$34,"9:30")</f>
        <v>1</v>
      </c>
      <c r="N110" s="45" t="s">
        <v>91</v>
      </c>
      <c r="O110" s="46" t="str">
        <f>COUNTIF(N$6:N$34,"16:45")</f>
        <v>1</v>
      </c>
    </row>
    <row r="111" ht="15.75" customHeight="1">
      <c r="J111" s="47" t="s">
        <v>93</v>
      </c>
      <c r="K111" s="48"/>
      <c r="L111" s="47" t="s">
        <v>94</v>
      </c>
      <c r="M111" s="48" t="str">
        <f>COUNTIF(L$6:L$34,"9:45")</f>
        <v>0</v>
      </c>
      <c r="N111" s="47" t="s">
        <v>95</v>
      </c>
      <c r="O111" s="48" t="str">
        <f>COUNTIF(N$6:N$34,"17:00")</f>
        <v>0</v>
      </c>
      <c r="V111" s="57" t="str">
        <f>SUM(V101:V109)</f>
        <v>9:00</v>
      </c>
    </row>
    <row r="112" ht="15.75" customHeight="1">
      <c r="K112" s="42" t="str">
        <f>SUM(K101:K110)</f>
        <v>#ERROR!</v>
      </c>
      <c r="L112" s="42"/>
      <c r="M112" s="42" t="str">
        <f>SUM(M101:M111)</f>
        <v>#ERROR!</v>
      </c>
      <c r="N112" s="42"/>
      <c r="O112" s="42" t="str">
        <f>SUM(O101:O111)</f>
        <v>#ERROR!</v>
      </c>
    </row>
  </sheetData>
  <mergeCells count="13">
    <mergeCell ref="Q4:R4"/>
    <mergeCell ref="H4:I4"/>
    <mergeCell ref="J4:K4"/>
    <mergeCell ref="L4:M4"/>
    <mergeCell ref="N4:O4"/>
    <mergeCell ref="D3:D5"/>
    <mergeCell ref="H3:P3"/>
    <mergeCell ref="U4:V4"/>
    <mergeCell ref="W4:X4"/>
    <mergeCell ref="B3:B5"/>
    <mergeCell ref="S4:T4"/>
    <mergeCell ref="Q3:Y3"/>
    <mergeCell ref="C3:C5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2.5"/>
    <col customWidth="1" min="2" max="2" width="5.33"/>
    <col customWidth="1" min="3" max="3" width="40.0"/>
    <col customWidth="1" min="4" max="4" width="31.83"/>
    <col customWidth="1" min="5" max="6" width="12.5"/>
    <col customWidth="1" min="7" max="7" width="54.5"/>
    <col customWidth="1" min="8" max="11" width="12.5"/>
  </cols>
  <sheetData>
    <row r="2">
      <c r="B2" s="58" t="s">
        <v>155</v>
      </c>
      <c r="C2" s="59" t="s">
        <v>156</v>
      </c>
      <c r="D2" s="59" t="s">
        <v>157</v>
      </c>
      <c r="E2" s="59" t="s">
        <v>158</v>
      </c>
      <c r="F2" s="59" t="s">
        <v>159</v>
      </c>
      <c r="G2" s="59" t="s">
        <v>160</v>
      </c>
    </row>
    <row r="3">
      <c r="B3" s="60">
        <v>1.0</v>
      </c>
      <c r="C3" s="61" t="s">
        <v>161</v>
      </c>
      <c r="D3" s="61" t="s">
        <v>162</v>
      </c>
      <c r="E3" s="62">
        <v>101490.0</v>
      </c>
      <c r="F3" s="61">
        <v>11344.0</v>
      </c>
      <c r="G3" s="63" t="s">
        <v>163</v>
      </c>
    </row>
    <row r="4">
      <c r="B4" s="60">
        <v>2.0</v>
      </c>
      <c r="C4" s="61" t="s">
        <v>164</v>
      </c>
      <c r="D4" s="61" t="s">
        <v>165</v>
      </c>
      <c r="E4" s="62">
        <v>101712.0</v>
      </c>
      <c r="F4" s="61">
        <v>11578.0</v>
      </c>
      <c r="G4" s="63" t="s">
        <v>166</v>
      </c>
    </row>
    <row r="5">
      <c r="B5" s="60">
        <v>3.0</v>
      </c>
      <c r="C5" s="61" t="s">
        <v>167</v>
      </c>
      <c r="D5" s="61" t="s">
        <v>168</v>
      </c>
      <c r="E5" s="61"/>
      <c r="F5" s="61">
        <v>12140.0</v>
      </c>
      <c r="G5" s="64" t="s">
        <v>169</v>
      </c>
    </row>
    <row r="6">
      <c r="B6" s="60">
        <v>4.0</v>
      </c>
      <c r="C6" s="61" t="s">
        <v>170</v>
      </c>
      <c r="D6" s="61" t="s">
        <v>171</v>
      </c>
      <c r="E6" s="62">
        <v>102182.0</v>
      </c>
      <c r="F6" s="61">
        <v>12042.0</v>
      </c>
      <c r="G6" s="63" t="s">
        <v>172</v>
      </c>
    </row>
    <row r="7">
      <c r="B7" s="60">
        <v>5.0</v>
      </c>
      <c r="C7" s="61" t="s">
        <v>170</v>
      </c>
      <c r="D7" s="61" t="s">
        <v>173</v>
      </c>
      <c r="E7" s="62">
        <v>2746.0</v>
      </c>
      <c r="F7" s="61">
        <v>10149.0</v>
      </c>
      <c r="G7" s="63" t="s">
        <v>174</v>
      </c>
    </row>
    <row r="8">
      <c r="B8" s="60">
        <v>6.0</v>
      </c>
      <c r="C8" s="61" t="s">
        <v>175</v>
      </c>
      <c r="D8" s="61" t="s">
        <v>176</v>
      </c>
      <c r="E8" s="62">
        <v>101444.0</v>
      </c>
      <c r="F8" s="61">
        <v>11298.0</v>
      </c>
      <c r="G8" s="63" t="s">
        <v>177</v>
      </c>
    </row>
    <row r="9">
      <c r="B9" s="60">
        <v>7.0</v>
      </c>
      <c r="C9" s="61" t="s">
        <v>175</v>
      </c>
      <c r="D9" s="61" t="s">
        <v>178</v>
      </c>
      <c r="E9" s="62">
        <v>101835.0</v>
      </c>
      <c r="F9" s="61" t="s">
        <v>179</v>
      </c>
      <c r="G9" s="64" t="s">
        <v>180</v>
      </c>
    </row>
    <row r="10">
      <c r="B10" s="60">
        <v>8.0</v>
      </c>
      <c r="C10" s="61" t="s">
        <v>175</v>
      </c>
      <c r="D10" s="61" t="s">
        <v>181</v>
      </c>
      <c r="E10" s="62">
        <v>101515.0</v>
      </c>
      <c r="F10" s="61">
        <v>11377.0</v>
      </c>
      <c r="G10" s="64" t="s">
        <v>182</v>
      </c>
    </row>
    <row r="11">
      <c r="B11" s="60">
        <v>9.0</v>
      </c>
      <c r="C11" s="61" t="s">
        <v>175</v>
      </c>
      <c r="D11" s="61" t="s">
        <v>183</v>
      </c>
      <c r="E11" s="62">
        <v>102051.0</v>
      </c>
      <c r="F11" s="61">
        <v>11895.0</v>
      </c>
      <c r="G11" s="64" t="s">
        <v>184</v>
      </c>
    </row>
    <row r="12">
      <c r="B12" s="60">
        <v>10.0</v>
      </c>
      <c r="C12" s="61" t="s">
        <v>185</v>
      </c>
      <c r="D12" s="61" t="s">
        <v>186</v>
      </c>
      <c r="E12" s="62">
        <v>101317.0</v>
      </c>
      <c r="F12" s="61">
        <v>11178.0</v>
      </c>
      <c r="G12" s="63" t="s">
        <v>187</v>
      </c>
    </row>
    <row r="13">
      <c r="B13" s="60">
        <v>11.0</v>
      </c>
      <c r="C13" s="61" t="s">
        <v>185</v>
      </c>
      <c r="D13" s="61" t="s">
        <v>188</v>
      </c>
      <c r="E13" s="62">
        <v>101477.0</v>
      </c>
      <c r="F13" s="61">
        <v>11341.0</v>
      </c>
      <c r="G13" s="63" t="s">
        <v>189</v>
      </c>
    </row>
    <row r="14">
      <c r="B14" s="60">
        <v>12.0</v>
      </c>
      <c r="C14" s="61" t="s">
        <v>185</v>
      </c>
      <c r="D14" s="61" t="s">
        <v>190</v>
      </c>
      <c r="E14" s="62">
        <v>101578.0</v>
      </c>
      <c r="F14" s="61">
        <v>11440.0</v>
      </c>
      <c r="G14" s="63" t="s">
        <v>191</v>
      </c>
    </row>
    <row r="15">
      <c r="B15" s="60">
        <v>13.0</v>
      </c>
      <c r="C15" s="61" t="s">
        <v>185</v>
      </c>
      <c r="D15" s="61" t="s">
        <v>192</v>
      </c>
      <c r="E15" s="62">
        <v>101738.0</v>
      </c>
      <c r="F15" s="61">
        <v>11599.0</v>
      </c>
      <c r="G15" s="63" t="s">
        <v>193</v>
      </c>
    </row>
    <row r="16">
      <c r="B16" s="60">
        <v>14.0</v>
      </c>
      <c r="C16" s="61" t="s">
        <v>185</v>
      </c>
      <c r="D16" s="61" t="s">
        <v>194</v>
      </c>
      <c r="E16" s="62">
        <v>101564.0</v>
      </c>
      <c r="F16" s="61">
        <v>11426.0</v>
      </c>
      <c r="G16" s="64" t="s">
        <v>195</v>
      </c>
    </row>
    <row r="17">
      <c r="B17" s="60">
        <v>15.0</v>
      </c>
      <c r="C17" s="61" t="s">
        <v>185</v>
      </c>
      <c r="D17" s="61" t="s">
        <v>196</v>
      </c>
      <c r="E17" s="62">
        <v>101570.0</v>
      </c>
      <c r="F17" s="61">
        <v>11432.0</v>
      </c>
      <c r="G17" s="63" t="s">
        <v>197</v>
      </c>
    </row>
    <row r="18">
      <c r="B18" s="60">
        <v>16.0</v>
      </c>
      <c r="C18" s="61" t="s">
        <v>198</v>
      </c>
      <c r="D18" s="61" t="s">
        <v>199</v>
      </c>
      <c r="E18" s="62">
        <v>101530.0</v>
      </c>
      <c r="F18" s="61">
        <v>11390.0</v>
      </c>
      <c r="G18" s="63" t="s">
        <v>200</v>
      </c>
    </row>
    <row r="19">
      <c r="B19" s="60">
        <v>17.0</v>
      </c>
      <c r="C19" s="61" t="s">
        <v>198</v>
      </c>
      <c r="D19" s="61" t="s">
        <v>178</v>
      </c>
      <c r="E19" s="62">
        <v>101837.0</v>
      </c>
      <c r="F19" s="61">
        <v>11698.0</v>
      </c>
      <c r="G19" s="63" t="s">
        <v>201</v>
      </c>
    </row>
    <row r="20">
      <c r="B20" s="60">
        <v>18.0</v>
      </c>
      <c r="C20" s="61" t="s">
        <v>198</v>
      </c>
      <c r="D20" s="61" t="s">
        <v>181</v>
      </c>
      <c r="E20" s="62">
        <v>101516.0</v>
      </c>
      <c r="F20" s="61">
        <v>11378.0</v>
      </c>
      <c r="G20" s="63" t="s">
        <v>202</v>
      </c>
    </row>
    <row r="21" ht="15.75" customHeight="1">
      <c r="B21" s="60">
        <v>19.0</v>
      </c>
      <c r="C21" s="61" t="s">
        <v>203</v>
      </c>
      <c r="D21" s="61" t="s">
        <v>204</v>
      </c>
      <c r="E21" s="62">
        <v>101882.0</v>
      </c>
      <c r="F21" s="61">
        <v>11744.0</v>
      </c>
      <c r="G21" s="64" t="s">
        <v>205</v>
      </c>
    </row>
    <row r="22" ht="15.75" customHeight="1">
      <c r="B22" s="60">
        <v>20.0</v>
      </c>
      <c r="C22" s="61" t="s">
        <v>203</v>
      </c>
      <c r="D22" s="61" t="s">
        <v>206</v>
      </c>
      <c r="E22" s="62">
        <v>102141.0</v>
      </c>
      <c r="F22" s="61">
        <v>12001.0</v>
      </c>
      <c r="G22" s="64" t="s">
        <v>207</v>
      </c>
    </row>
    <row r="23" ht="15.75" customHeight="1">
      <c r="B23" s="60">
        <v>21.0</v>
      </c>
      <c r="C23" s="61" t="s">
        <v>208</v>
      </c>
      <c r="D23" s="61" t="s">
        <v>209</v>
      </c>
      <c r="E23" s="62">
        <v>100450.0</v>
      </c>
      <c r="F23" s="61">
        <v>10148.0</v>
      </c>
      <c r="G23" s="63" t="s">
        <v>210</v>
      </c>
    </row>
    <row r="24" ht="15.75" customHeight="1">
      <c r="B24" s="60">
        <v>22.0</v>
      </c>
      <c r="C24" s="61" t="s">
        <v>208</v>
      </c>
      <c r="D24" s="61" t="s">
        <v>181</v>
      </c>
      <c r="E24" s="62">
        <v>101513.0</v>
      </c>
      <c r="F24" s="61">
        <v>11375.0</v>
      </c>
      <c r="G24" s="63" t="s">
        <v>211</v>
      </c>
    </row>
    <row r="25" ht="15.75" customHeight="1">
      <c r="B25" s="60">
        <v>23.0</v>
      </c>
      <c r="C25" s="61" t="s">
        <v>208</v>
      </c>
      <c r="D25" s="61" t="s">
        <v>212</v>
      </c>
      <c r="E25" s="62">
        <v>101518.0</v>
      </c>
      <c r="F25" s="61">
        <v>11380.0</v>
      </c>
      <c r="G25" s="63" t="s">
        <v>213</v>
      </c>
    </row>
    <row r="26" ht="15.75" customHeight="1">
      <c r="B26" s="60">
        <v>24.0</v>
      </c>
      <c r="C26" s="61" t="s">
        <v>208</v>
      </c>
      <c r="D26" s="61" t="s">
        <v>204</v>
      </c>
      <c r="E26" s="62">
        <v>101880.0</v>
      </c>
      <c r="F26" s="61">
        <v>11742.0</v>
      </c>
      <c r="G26" s="63" t="s">
        <v>214</v>
      </c>
    </row>
    <row r="27" ht="15.75" customHeight="1">
      <c r="B27" s="60">
        <v>25.0</v>
      </c>
      <c r="C27" s="61" t="s">
        <v>215</v>
      </c>
      <c r="D27" s="61" t="s">
        <v>173</v>
      </c>
      <c r="E27" s="62">
        <v>2748.0</v>
      </c>
      <c r="F27" s="61">
        <v>10173.0</v>
      </c>
      <c r="G27" s="64" t="s">
        <v>216</v>
      </c>
    </row>
    <row r="28" ht="15.75" customHeight="1">
      <c r="B28" s="60">
        <v>27.0</v>
      </c>
      <c r="C28" s="61" t="s">
        <v>217</v>
      </c>
      <c r="D28" s="61" t="s">
        <v>218</v>
      </c>
      <c r="E28" s="62">
        <v>25298.0</v>
      </c>
      <c r="F28" s="61">
        <v>10089.0</v>
      </c>
      <c r="G28" s="63" t="s">
        <v>219</v>
      </c>
    </row>
    <row r="29" ht="15.75" customHeight="1">
      <c r="B29" s="60">
        <v>28.0</v>
      </c>
      <c r="C29" s="61" t="s">
        <v>217</v>
      </c>
      <c r="D29" s="61" t="s">
        <v>181</v>
      </c>
      <c r="E29" s="62">
        <v>101514.0</v>
      </c>
      <c r="F29" s="61">
        <v>11376.0</v>
      </c>
      <c r="G29" s="64" t="s">
        <v>220</v>
      </c>
    </row>
    <row r="30" ht="15.75" customHeight="1">
      <c r="B30" s="60">
        <v>30.0</v>
      </c>
      <c r="C30" s="61" t="s">
        <v>217</v>
      </c>
      <c r="D30" s="61" t="s">
        <v>221</v>
      </c>
      <c r="E30" s="62">
        <v>101707.0</v>
      </c>
      <c r="F30" s="61">
        <v>12227.0</v>
      </c>
      <c r="G30" s="64" t="s">
        <v>222</v>
      </c>
    </row>
    <row r="31" ht="15.75" customHeight="1">
      <c r="B31" s="60">
        <v>32.0</v>
      </c>
      <c r="C31" s="61" t="s">
        <v>217</v>
      </c>
      <c r="D31" s="61" t="s">
        <v>223</v>
      </c>
      <c r="E31" s="62">
        <v>101965.0</v>
      </c>
      <c r="F31" s="61">
        <v>11827.0</v>
      </c>
      <c r="G31" s="64" t="s">
        <v>224</v>
      </c>
    </row>
    <row r="32" ht="15.75" customHeight="1">
      <c r="B32" s="60">
        <v>34.0</v>
      </c>
      <c r="C32" s="61" t="s">
        <v>217</v>
      </c>
      <c r="D32" s="61" t="s">
        <v>225</v>
      </c>
      <c r="E32" s="62">
        <v>102233.0</v>
      </c>
      <c r="F32" s="61">
        <v>12093.0</v>
      </c>
      <c r="G32" s="64" t="s">
        <v>226</v>
      </c>
    </row>
    <row r="33" ht="15.75" customHeight="1">
      <c r="B33" s="60">
        <v>35.0</v>
      </c>
      <c r="C33" s="61" t="s">
        <v>217</v>
      </c>
      <c r="D33" s="61" t="s">
        <v>225</v>
      </c>
      <c r="E33" s="62">
        <v>102234.0</v>
      </c>
      <c r="F33" s="61">
        <v>12094.0</v>
      </c>
      <c r="G33" s="64" t="s">
        <v>227</v>
      </c>
    </row>
    <row r="34" ht="15.75" customHeight="1">
      <c r="B34" s="60">
        <v>38.0</v>
      </c>
      <c r="C34" s="61" t="s">
        <v>217</v>
      </c>
      <c r="D34" s="61" t="s">
        <v>168</v>
      </c>
      <c r="E34" s="62">
        <v>101339.0</v>
      </c>
      <c r="F34" s="61">
        <v>11206.0</v>
      </c>
      <c r="G34" s="64" t="s">
        <v>228</v>
      </c>
    </row>
    <row r="35" ht="15.75" customHeight="1">
      <c r="B35" s="60">
        <v>39.0</v>
      </c>
      <c r="C35" s="61" t="s">
        <v>217</v>
      </c>
      <c r="D35" s="61" t="s">
        <v>168</v>
      </c>
      <c r="E35" s="62">
        <v>102277.0</v>
      </c>
      <c r="F35" s="61">
        <v>12137.0</v>
      </c>
      <c r="G35" s="64" t="s">
        <v>229</v>
      </c>
    </row>
    <row r="36" ht="15.75" customHeight="1">
      <c r="B36" s="60">
        <v>40.0</v>
      </c>
      <c r="C36" s="61" t="s">
        <v>217</v>
      </c>
      <c r="D36" s="61" t="s">
        <v>230</v>
      </c>
      <c r="E36" s="62">
        <v>101112.0</v>
      </c>
      <c r="F36" s="61">
        <v>11448.0</v>
      </c>
      <c r="G36" s="64" t="s">
        <v>231</v>
      </c>
    </row>
    <row r="37" ht="15.75" customHeight="1">
      <c r="B37" s="60">
        <v>41.0</v>
      </c>
      <c r="C37" s="61" t="s">
        <v>217</v>
      </c>
      <c r="D37" s="61" t="s">
        <v>230</v>
      </c>
      <c r="E37" s="62">
        <v>101603.0</v>
      </c>
      <c r="F37" s="61">
        <v>11464.0</v>
      </c>
      <c r="G37" s="64" t="s">
        <v>232</v>
      </c>
    </row>
    <row r="38" ht="15.75" customHeight="1">
      <c r="B38" s="60">
        <v>42.0</v>
      </c>
      <c r="C38" s="61" t="s">
        <v>217</v>
      </c>
      <c r="D38" s="61" t="s">
        <v>230</v>
      </c>
      <c r="E38" s="62">
        <v>102291.0</v>
      </c>
      <c r="F38" s="61">
        <v>12151.0</v>
      </c>
      <c r="G38" s="64" t="s">
        <v>233</v>
      </c>
    </row>
    <row r="39" ht="15.75" customHeight="1">
      <c r="B39" s="60">
        <v>43.0</v>
      </c>
      <c r="C39" s="61" t="s">
        <v>217</v>
      </c>
      <c r="D39" s="61" t="s">
        <v>234</v>
      </c>
      <c r="E39" s="65">
        <v>102298.0</v>
      </c>
      <c r="F39" s="66">
        <v>12157.0</v>
      </c>
      <c r="G39" s="64" t="s">
        <v>235</v>
      </c>
    </row>
    <row r="40" ht="15.75" customHeight="1">
      <c r="B40" s="60">
        <v>44.0</v>
      </c>
      <c r="C40" s="61" t="s">
        <v>217</v>
      </c>
      <c r="D40" s="61" t="s">
        <v>234</v>
      </c>
      <c r="E40" s="65">
        <v>102300.0</v>
      </c>
      <c r="F40" s="65">
        <v>12159.0</v>
      </c>
      <c r="G40" s="64" t="s">
        <v>236</v>
      </c>
    </row>
    <row r="41" ht="15.75" customHeight="1">
      <c r="B41" s="60">
        <v>45.0</v>
      </c>
      <c r="C41" s="61" t="s">
        <v>217</v>
      </c>
      <c r="D41" s="61" t="s">
        <v>234</v>
      </c>
      <c r="E41" s="66">
        <v>102299.0</v>
      </c>
      <c r="F41" s="66">
        <v>12158.0</v>
      </c>
      <c r="G41" s="64" t="s">
        <v>237</v>
      </c>
    </row>
    <row r="42" ht="15.75" customHeight="1">
      <c r="B42" s="60">
        <v>46.0</v>
      </c>
      <c r="C42" s="61"/>
      <c r="D42" s="61" t="s">
        <v>238</v>
      </c>
      <c r="E42" s="66">
        <v>102331.0</v>
      </c>
      <c r="F42" s="66">
        <v>12190.0</v>
      </c>
      <c r="G42" s="64" t="s">
        <v>239</v>
      </c>
    </row>
    <row r="43" ht="15.75" customHeight="1">
      <c r="B43" s="60">
        <v>47.0</v>
      </c>
      <c r="C43" s="61"/>
      <c r="D43" s="61" t="s">
        <v>238</v>
      </c>
      <c r="E43" s="66">
        <v>102329.0</v>
      </c>
      <c r="F43" s="66">
        <v>12188.0</v>
      </c>
      <c r="G43" s="64" t="s">
        <v>240</v>
      </c>
    </row>
    <row r="44" ht="15.75" customHeight="1">
      <c r="B44" s="60">
        <v>48.0</v>
      </c>
      <c r="C44" s="61"/>
      <c r="D44" s="61" t="s">
        <v>241</v>
      </c>
      <c r="E44" s="66">
        <v>102354.0</v>
      </c>
      <c r="F44" s="66">
        <v>12213.0</v>
      </c>
      <c r="G44" s="64" t="s">
        <v>242</v>
      </c>
    </row>
    <row r="45" ht="15.75" customHeight="1">
      <c r="B45" s="60">
        <v>49.0</v>
      </c>
      <c r="C45" s="61"/>
      <c r="D45" s="61" t="s">
        <v>241</v>
      </c>
      <c r="E45" s="66">
        <v>102353.0</v>
      </c>
      <c r="F45" s="66">
        <v>12212.0</v>
      </c>
      <c r="G45" s="64" t="s">
        <v>243</v>
      </c>
    </row>
    <row r="46" ht="15.75" customHeight="1">
      <c r="B46" s="60">
        <v>50.0</v>
      </c>
      <c r="C46" s="61"/>
      <c r="D46" s="61" t="s">
        <v>241</v>
      </c>
      <c r="E46" s="66">
        <v>102352.0</v>
      </c>
      <c r="F46" s="66">
        <v>12211.0</v>
      </c>
      <c r="G46" s="64" t="s">
        <v>244</v>
      </c>
    </row>
    <row r="47" ht="15.75" customHeight="1">
      <c r="B47" s="60">
        <v>51.0</v>
      </c>
      <c r="C47" s="61"/>
      <c r="D47" s="61" t="s">
        <v>245</v>
      </c>
      <c r="E47" s="66">
        <v>102386.0</v>
      </c>
      <c r="F47" s="66">
        <v>12245.0</v>
      </c>
      <c r="G47" s="64" t="s">
        <v>246</v>
      </c>
    </row>
    <row r="48" ht="15.75" customHeight="1">
      <c r="B48" s="60">
        <v>52.0</v>
      </c>
      <c r="C48" s="61"/>
      <c r="D48" s="61" t="s">
        <v>245</v>
      </c>
      <c r="E48" s="66">
        <v>101869.0</v>
      </c>
      <c r="F48" s="66">
        <v>11732.0</v>
      </c>
      <c r="G48" s="64" t="s">
        <v>247</v>
      </c>
    </row>
    <row r="49" ht="15.75" customHeight="1">
      <c r="B49" s="60">
        <v>53.0</v>
      </c>
      <c r="C49" s="61"/>
      <c r="D49" s="61" t="s">
        <v>245</v>
      </c>
      <c r="E49" s="66">
        <v>102388.0</v>
      </c>
      <c r="F49" s="66">
        <v>12247.0</v>
      </c>
      <c r="G49" s="64" t="s">
        <v>248</v>
      </c>
    </row>
    <row r="50" ht="15.75" customHeight="1">
      <c r="B50" s="60">
        <v>54.0</v>
      </c>
      <c r="C50" s="61"/>
      <c r="D50" s="61" t="s">
        <v>245</v>
      </c>
      <c r="E50" s="66">
        <v>102385.0</v>
      </c>
      <c r="F50" s="66">
        <v>12244.0</v>
      </c>
      <c r="G50" s="64" t="s">
        <v>249</v>
      </c>
    </row>
    <row r="51" ht="15.75" customHeight="1">
      <c r="B51" s="60">
        <v>55.0</v>
      </c>
      <c r="C51" s="61"/>
      <c r="D51" s="61" t="s">
        <v>245</v>
      </c>
      <c r="E51" s="66">
        <v>102384.0</v>
      </c>
      <c r="F51" s="66">
        <v>12243.0</v>
      </c>
      <c r="G51" s="64" t="s">
        <v>250</v>
      </c>
    </row>
    <row r="52" ht="15.75" customHeight="1">
      <c r="B52" s="60">
        <v>56.0</v>
      </c>
      <c r="C52" s="61"/>
      <c r="D52" s="61" t="s">
        <v>245</v>
      </c>
      <c r="E52" s="66">
        <v>102387.0</v>
      </c>
      <c r="F52" s="66">
        <v>12246.0</v>
      </c>
      <c r="G52" s="64" t="s">
        <v>251</v>
      </c>
    </row>
    <row r="53" ht="15.75" customHeight="1">
      <c r="B53" s="60">
        <v>57.0</v>
      </c>
      <c r="C53" s="61"/>
      <c r="D53" s="61" t="s">
        <v>252</v>
      </c>
      <c r="E53" s="66"/>
      <c r="F53" s="67">
        <v>12290.0</v>
      </c>
      <c r="G53" s="64" t="s">
        <v>253</v>
      </c>
    </row>
    <row r="54" ht="15.75" customHeight="1">
      <c r="B54" s="60">
        <v>58.0</v>
      </c>
      <c r="C54" s="61"/>
      <c r="D54" s="61" t="s">
        <v>252</v>
      </c>
      <c r="E54" s="66"/>
      <c r="F54" s="67">
        <v>12293.0</v>
      </c>
      <c r="G54" s="64" t="s">
        <v>254</v>
      </c>
    </row>
    <row r="55" ht="15.75" customHeight="1">
      <c r="B55" s="60">
        <v>59.0</v>
      </c>
      <c r="C55" s="61"/>
      <c r="D55" s="61" t="s">
        <v>252</v>
      </c>
      <c r="E55" s="66"/>
      <c r="F55" s="67">
        <v>12291.0</v>
      </c>
      <c r="G55" s="64" t="s">
        <v>255</v>
      </c>
    </row>
    <row r="56" ht="15.75" customHeight="1">
      <c r="B56" s="60">
        <v>60.0</v>
      </c>
      <c r="C56" s="61"/>
      <c r="D56" s="61" t="s">
        <v>252</v>
      </c>
      <c r="E56" s="66"/>
      <c r="F56" s="67">
        <v>12292.0</v>
      </c>
      <c r="G56" s="64" t="s">
        <v>256</v>
      </c>
    </row>
    <row r="57" ht="15.75" customHeight="1">
      <c r="B57" s="60">
        <v>61.0</v>
      </c>
      <c r="C57" s="61"/>
      <c r="D57" s="61" t="s">
        <v>257</v>
      </c>
      <c r="E57" s="66"/>
      <c r="F57" s="67"/>
      <c r="G57" s="64" t="s">
        <v>258</v>
      </c>
    </row>
    <row r="58" ht="15.75" customHeight="1">
      <c r="B58" s="60">
        <v>62.0</v>
      </c>
      <c r="C58" s="61"/>
      <c r="D58" s="61" t="s">
        <v>257</v>
      </c>
      <c r="E58" s="66"/>
      <c r="F58" s="67"/>
      <c r="G58" s="64" t="s">
        <v>259</v>
      </c>
    </row>
    <row r="59" ht="15.75" customHeight="1">
      <c r="B59" s="60">
        <v>63.0</v>
      </c>
      <c r="C59" s="61"/>
      <c r="D59" s="61" t="s">
        <v>257</v>
      </c>
      <c r="E59" s="66"/>
      <c r="F59" s="67"/>
      <c r="G59" s="64" t="s">
        <v>260</v>
      </c>
    </row>
    <row r="60" ht="15.75" customHeight="1">
      <c r="B60" s="60">
        <v>64.0</v>
      </c>
      <c r="C60" s="68"/>
      <c r="D60" s="61" t="s">
        <v>261</v>
      </c>
      <c r="E60" s="66"/>
      <c r="F60" s="66"/>
      <c r="G60" s="64" t="s">
        <v>262</v>
      </c>
    </row>
    <row r="61" ht="15.75" customHeight="1">
      <c r="B61" s="60">
        <v>65.0</v>
      </c>
      <c r="C61" s="68"/>
      <c r="D61" s="61" t="s">
        <v>261</v>
      </c>
      <c r="E61" s="66"/>
      <c r="F61" s="66"/>
      <c r="G61" s="64" t="s">
        <v>263</v>
      </c>
    </row>
    <row r="62" ht="15.75" customHeight="1">
      <c r="B62" s="60">
        <v>66.0</v>
      </c>
      <c r="C62" s="68"/>
      <c r="D62" s="61" t="s">
        <v>261</v>
      </c>
      <c r="E62" s="66"/>
      <c r="F62" s="66"/>
      <c r="G62" s="64" t="s">
        <v>264</v>
      </c>
    </row>
    <row r="63" ht="15.75" customHeight="1">
      <c r="B63" s="60">
        <v>67.0</v>
      </c>
      <c r="C63" s="68"/>
      <c r="D63" s="61" t="s">
        <v>261</v>
      </c>
      <c r="E63" s="66"/>
      <c r="F63" s="66"/>
      <c r="G63" s="64" t="s">
        <v>265</v>
      </c>
    </row>
    <row r="64" ht="15.75" customHeight="1">
      <c r="B64" s="60">
        <v>68.0</v>
      </c>
      <c r="C64" s="61"/>
      <c r="D64" s="61" t="s">
        <v>266</v>
      </c>
      <c r="E64" s="66" t="s">
        <v>267</v>
      </c>
      <c r="F64" s="66" t="s">
        <v>268</v>
      </c>
      <c r="G64" s="64" t="s">
        <v>269</v>
      </c>
    </row>
    <row r="65" ht="15.75" customHeight="1">
      <c r="B65" s="60">
        <v>69.0</v>
      </c>
      <c r="C65" s="61"/>
      <c r="D65" s="61" t="s">
        <v>266</v>
      </c>
      <c r="E65" s="66" t="s">
        <v>270</v>
      </c>
      <c r="F65" s="66" t="s">
        <v>271</v>
      </c>
      <c r="G65" s="64" t="s">
        <v>272</v>
      </c>
    </row>
    <row r="66" ht="15.75" customHeight="1">
      <c r="B66" s="60">
        <v>70.0</v>
      </c>
      <c r="C66" s="61"/>
      <c r="D66" s="61" t="s">
        <v>266</v>
      </c>
      <c r="E66" s="66" t="s">
        <v>273</v>
      </c>
      <c r="F66" s="66" t="s">
        <v>274</v>
      </c>
      <c r="G66" s="64" t="s">
        <v>275</v>
      </c>
    </row>
    <row r="67" ht="15.75" customHeight="1">
      <c r="B67" s="60">
        <v>71.0</v>
      </c>
      <c r="C67" s="61"/>
      <c r="D67" s="61" t="s">
        <v>266</v>
      </c>
      <c r="E67" s="66" t="s">
        <v>276</v>
      </c>
      <c r="F67" s="66" t="s">
        <v>277</v>
      </c>
      <c r="G67" s="64" t="s">
        <v>278</v>
      </c>
    </row>
    <row r="68" ht="15.75" customHeight="1">
      <c r="B68" s="60">
        <v>72.0</v>
      </c>
      <c r="C68" s="61"/>
      <c r="D68" s="61" t="s">
        <v>266</v>
      </c>
      <c r="E68" s="66" t="s">
        <v>279</v>
      </c>
      <c r="F68" s="66" t="s">
        <v>280</v>
      </c>
      <c r="G68" s="64" t="s">
        <v>281</v>
      </c>
    </row>
    <row r="69" ht="15.75" customHeight="1">
      <c r="B69" s="60">
        <v>73.0</v>
      </c>
      <c r="C69" s="61"/>
      <c r="D69" s="61" t="s">
        <v>266</v>
      </c>
      <c r="E69" s="66" t="s">
        <v>282</v>
      </c>
      <c r="F69" s="66" t="s">
        <v>283</v>
      </c>
      <c r="G69" s="64" t="s">
        <v>284</v>
      </c>
    </row>
    <row r="70" ht="15.75" customHeight="1">
      <c r="B70" s="60">
        <v>74.0</v>
      </c>
      <c r="C70" s="61"/>
      <c r="D70" s="61" t="s">
        <v>266</v>
      </c>
      <c r="E70" s="66" t="s">
        <v>285</v>
      </c>
      <c r="F70" s="66" t="s">
        <v>286</v>
      </c>
      <c r="G70" s="64" t="s">
        <v>287</v>
      </c>
    </row>
    <row r="71" ht="15.75" customHeight="1">
      <c r="B71" s="60">
        <v>75.0</v>
      </c>
      <c r="C71" s="61"/>
      <c r="D71" s="61" t="s">
        <v>266</v>
      </c>
      <c r="E71" s="66" t="s">
        <v>288</v>
      </c>
      <c r="F71" s="66" t="s">
        <v>289</v>
      </c>
      <c r="G71" s="64" t="s">
        <v>290</v>
      </c>
    </row>
    <row r="72" ht="15.75" customHeight="1">
      <c r="B72" s="60">
        <v>76.0</v>
      </c>
      <c r="C72" s="61"/>
      <c r="D72" s="61" t="s">
        <v>266</v>
      </c>
      <c r="E72" s="66" t="s">
        <v>291</v>
      </c>
      <c r="F72" s="66" t="s">
        <v>292</v>
      </c>
      <c r="G72" s="64" t="s">
        <v>293</v>
      </c>
    </row>
    <row r="73" ht="15.75" customHeight="1">
      <c r="B73" s="60">
        <v>77.0</v>
      </c>
      <c r="C73" s="68"/>
      <c r="D73" s="61" t="s">
        <v>266</v>
      </c>
      <c r="E73" s="66">
        <v>102488.0</v>
      </c>
      <c r="F73" s="66">
        <v>12347.0</v>
      </c>
      <c r="G73" s="69" t="s">
        <v>294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6.83" defaultRowHeight="15.0"/>
  <cols>
    <col customWidth="1" min="1" max="1" width="3.17"/>
    <col customWidth="1" min="2" max="2" width="6.5"/>
    <col customWidth="1" min="3" max="3" width="9.83"/>
    <col customWidth="1" min="4" max="4" width="13.67"/>
    <col customWidth="1" min="5" max="5" width="33.5"/>
    <col customWidth="1" min="6" max="6" width="11.33"/>
    <col customWidth="1" min="7" max="7" width="37.0"/>
    <col customWidth="1" min="8" max="8" width="18.5"/>
    <col customWidth="1" min="9" max="9" width="10.33"/>
    <col customWidth="1" min="10" max="10" width="12.5"/>
    <col customWidth="1" min="11" max="11" width="16.5"/>
    <col customWidth="1" min="12" max="12" width="7.33"/>
    <col customWidth="1" min="13" max="13" width="7.67"/>
    <col customWidth="1" min="14" max="14" width="28.17"/>
    <col customWidth="1" min="15" max="15" width="2.83"/>
    <col customWidth="1" min="16" max="16" width="1.83"/>
    <col customWidth="1" min="17" max="17" width="15.0"/>
    <col customWidth="1" min="18" max="18" width="25.33"/>
    <col customWidth="1" min="19" max="19" width="3.5"/>
    <col customWidth="1" min="20" max="20" width="37.67"/>
    <col customWidth="1" min="21" max="21" width="11.0"/>
    <col customWidth="1" min="22" max="23" width="12.5"/>
    <col customWidth="1" min="24" max="24" width="44.33"/>
  </cols>
  <sheetData>
    <row r="1" ht="15.0" customHeight="1">
      <c r="G1" s="70" t="s">
        <v>295</v>
      </c>
      <c r="J1" s="70"/>
    </row>
    <row r="2" ht="15.0" customHeight="1">
      <c r="B2" s="71"/>
      <c r="C2" s="71"/>
      <c r="D2" s="71"/>
      <c r="E2" s="71"/>
      <c r="F2" s="71"/>
      <c r="G2" s="71"/>
      <c r="H2" s="71"/>
      <c r="I2" s="71"/>
      <c r="J2" s="71"/>
    </row>
    <row r="3">
      <c r="B3" s="1" t="s">
        <v>296</v>
      </c>
      <c r="C3" s="72"/>
      <c r="D3" s="1" t="s">
        <v>297</v>
      </c>
      <c r="E3" s="1" t="s">
        <v>298</v>
      </c>
      <c r="F3" s="1" t="s">
        <v>299</v>
      </c>
      <c r="G3" s="1" t="s">
        <v>300</v>
      </c>
      <c r="H3" s="1" t="s">
        <v>301</v>
      </c>
      <c r="I3" s="1" t="s">
        <v>299</v>
      </c>
      <c r="J3" s="1" t="s">
        <v>14</v>
      </c>
      <c r="K3" s="1" t="s">
        <v>302</v>
      </c>
    </row>
    <row r="4">
      <c r="B4" s="8"/>
      <c r="C4" s="73" t="s">
        <v>303</v>
      </c>
      <c r="D4" s="8"/>
      <c r="E4" s="8"/>
      <c r="F4" s="8"/>
      <c r="G4" s="8"/>
      <c r="H4" s="8"/>
      <c r="I4" s="8"/>
      <c r="J4" s="8"/>
      <c r="K4" s="8"/>
    </row>
    <row r="5">
      <c r="B5" s="14"/>
      <c r="C5" s="74"/>
      <c r="D5" s="14"/>
      <c r="E5" s="14"/>
      <c r="F5" s="14"/>
      <c r="G5" s="14"/>
      <c r="H5" s="14"/>
      <c r="I5" s="14"/>
      <c r="J5" s="14"/>
      <c r="K5" s="14"/>
      <c r="L5" t="s">
        <v>304</v>
      </c>
      <c r="M5" t="s">
        <v>305</v>
      </c>
    </row>
    <row r="6">
      <c r="B6" s="75">
        <v>1.0</v>
      </c>
      <c r="C6" s="76">
        <v>6001.0</v>
      </c>
      <c r="D6" s="76" t="s">
        <v>306</v>
      </c>
      <c r="E6" s="76" t="s">
        <v>307</v>
      </c>
      <c r="F6" s="76" t="s">
        <v>308</v>
      </c>
      <c r="G6" s="19" t="s">
        <v>309</v>
      </c>
      <c r="H6" s="75" t="s">
        <v>154</v>
      </c>
      <c r="I6" s="75" t="str">
        <f t="shared" ref="I6:I43" si="1">F6</f>
        <v>Agente 1</v>
      </c>
      <c r="J6" s="77"/>
      <c r="K6" s="77"/>
      <c r="L6">
        <v>1.0</v>
      </c>
      <c r="N6" s="78" t="s">
        <v>310</v>
      </c>
      <c r="Q6" t="s">
        <v>306</v>
      </c>
      <c r="R6" t="s">
        <v>307</v>
      </c>
      <c r="S6">
        <v>1.0</v>
      </c>
      <c r="T6" t="s">
        <v>309</v>
      </c>
      <c r="U6" t="s">
        <v>154</v>
      </c>
      <c r="W6" s="79">
        <v>1.0</v>
      </c>
      <c r="X6" s="80" t="s">
        <v>309</v>
      </c>
    </row>
    <row r="7">
      <c r="B7" s="18" t="str">
        <f t="shared" ref="B7:B84" si="2">B6+1</f>
        <v>2</v>
      </c>
      <c r="C7" s="18">
        <v>6002.0</v>
      </c>
      <c r="D7" s="18" t="s">
        <v>311</v>
      </c>
      <c r="E7" s="18" t="s">
        <v>312</v>
      </c>
      <c r="F7" s="18" t="s">
        <v>313</v>
      </c>
      <c r="G7" s="19" t="s">
        <v>314</v>
      </c>
      <c r="H7" s="18" t="s">
        <v>315</v>
      </c>
      <c r="I7" s="18" t="str">
        <f t="shared" si="1"/>
        <v>Agente 2</v>
      </c>
      <c r="J7" s="19"/>
      <c r="K7" s="19" t="s">
        <v>316</v>
      </c>
      <c r="N7" s="78" t="s">
        <v>317</v>
      </c>
      <c r="Q7" t="s">
        <v>311</v>
      </c>
      <c r="R7" t="s">
        <v>312</v>
      </c>
      <c r="S7">
        <v>2.0</v>
      </c>
      <c r="T7" t="s">
        <v>207</v>
      </c>
      <c r="U7" t="s">
        <v>154</v>
      </c>
      <c r="W7" s="79">
        <v>2.0</v>
      </c>
      <c r="X7" s="80" t="s">
        <v>207</v>
      </c>
    </row>
    <row r="8">
      <c r="B8" s="18" t="str">
        <f t="shared" si="2"/>
        <v>3</v>
      </c>
      <c r="C8" s="76">
        <v>6003.0</v>
      </c>
      <c r="D8" s="18" t="s">
        <v>318</v>
      </c>
      <c r="E8" s="18" t="s">
        <v>319</v>
      </c>
      <c r="F8" s="18" t="s">
        <v>320</v>
      </c>
      <c r="G8" s="19" t="s">
        <v>41</v>
      </c>
      <c r="H8" s="18" t="s">
        <v>41</v>
      </c>
      <c r="I8" s="18" t="str">
        <f t="shared" si="1"/>
        <v>Agente 3</v>
      </c>
      <c r="J8" s="19"/>
      <c r="K8" s="19"/>
      <c r="M8">
        <v>1.0</v>
      </c>
      <c r="Q8" t="s">
        <v>318</v>
      </c>
      <c r="R8" t="s">
        <v>319</v>
      </c>
      <c r="S8">
        <v>3.0</v>
      </c>
      <c r="T8" t="s">
        <v>321</v>
      </c>
      <c r="U8" t="s">
        <v>154</v>
      </c>
      <c r="W8" s="79">
        <v>3.0</v>
      </c>
      <c r="X8" s="80" t="s">
        <v>321</v>
      </c>
    </row>
    <row r="9">
      <c r="B9" s="18" t="str">
        <f t="shared" si="2"/>
        <v>4</v>
      </c>
      <c r="C9" s="18">
        <v>6004.0</v>
      </c>
      <c r="D9" s="18" t="s">
        <v>322</v>
      </c>
      <c r="E9" s="18" t="s">
        <v>323</v>
      </c>
      <c r="F9" s="18" t="s">
        <v>324</v>
      </c>
      <c r="G9" s="19" t="s">
        <v>220</v>
      </c>
      <c r="H9" s="18" t="s">
        <v>325</v>
      </c>
      <c r="I9" s="18" t="str">
        <f t="shared" si="1"/>
        <v>Agente 4</v>
      </c>
      <c r="J9" s="19"/>
      <c r="K9" s="19"/>
      <c r="M9">
        <v>1.0</v>
      </c>
      <c r="Q9" t="s">
        <v>322</v>
      </c>
      <c r="R9" t="s">
        <v>323</v>
      </c>
      <c r="S9">
        <v>4.0</v>
      </c>
      <c r="T9" t="s">
        <v>220</v>
      </c>
      <c r="U9" t="s">
        <v>154</v>
      </c>
      <c r="W9" s="79">
        <v>4.0</v>
      </c>
      <c r="X9" s="80" t="s">
        <v>220</v>
      </c>
    </row>
    <row r="10">
      <c r="B10" s="18" t="str">
        <f t="shared" si="2"/>
        <v>5</v>
      </c>
      <c r="C10" s="76">
        <v>6005.0</v>
      </c>
      <c r="D10" s="18" t="s">
        <v>326</v>
      </c>
      <c r="E10" s="18" t="s">
        <v>327</v>
      </c>
      <c r="F10" s="18" t="s">
        <v>328</v>
      </c>
      <c r="G10" s="19" t="s">
        <v>329</v>
      </c>
      <c r="H10" s="18" t="s">
        <v>315</v>
      </c>
      <c r="I10" s="18" t="str">
        <f t="shared" si="1"/>
        <v>Agente 5</v>
      </c>
      <c r="J10" s="19"/>
      <c r="K10" s="19"/>
      <c r="L10">
        <v>1.0</v>
      </c>
      <c r="Q10" t="s">
        <v>326</v>
      </c>
      <c r="R10" t="s">
        <v>327</v>
      </c>
      <c r="S10">
        <v>5.0</v>
      </c>
      <c r="T10" t="s">
        <v>227</v>
      </c>
      <c r="U10" t="s">
        <v>154</v>
      </c>
      <c r="W10" s="79">
        <v>5.0</v>
      </c>
      <c r="X10" s="80" t="s">
        <v>227</v>
      </c>
    </row>
    <row r="11">
      <c r="B11" s="18" t="str">
        <f t="shared" si="2"/>
        <v>6</v>
      </c>
      <c r="C11" s="18">
        <v>6006.0</v>
      </c>
      <c r="D11" s="18" t="s">
        <v>330</v>
      </c>
      <c r="E11" s="18" t="s">
        <v>331</v>
      </c>
      <c r="F11" s="18" t="s">
        <v>332</v>
      </c>
      <c r="G11" s="19" t="s">
        <v>333</v>
      </c>
      <c r="H11" s="18" t="s">
        <v>325</v>
      </c>
      <c r="I11" s="18" t="str">
        <f t="shared" si="1"/>
        <v>Agente 6</v>
      </c>
      <c r="J11" s="19"/>
      <c r="K11" s="19" t="s">
        <v>334</v>
      </c>
      <c r="Q11" t="s">
        <v>335</v>
      </c>
      <c r="R11" t="s">
        <v>336</v>
      </c>
      <c r="S11">
        <v>6.0</v>
      </c>
      <c r="T11" t="s">
        <v>337</v>
      </c>
      <c r="U11" t="s">
        <v>154</v>
      </c>
      <c r="W11" s="79">
        <v>6.0</v>
      </c>
      <c r="X11" s="80" t="s">
        <v>338</v>
      </c>
    </row>
    <row r="12">
      <c r="B12" s="18" t="str">
        <f t="shared" si="2"/>
        <v>7</v>
      </c>
      <c r="C12" s="76">
        <v>6007.0</v>
      </c>
      <c r="D12" s="18" t="s">
        <v>335</v>
      </c>
      <c r="E12" s="18" t="s">
        <v>336</v>
      </c>
      <c r="F12" s="18" t="s">
        <v>339</v>
      </c>
      <c r="G12" s="19" t="s">
        <v>340</v>
      </c>
      <c r="H12" s="18" t="s">
        <v>315</v>
      </c>
      <c r="I12" s="18" t="str">
        <f t="shared" si="1"/>
        <v>Agente 7</v>
      </c>
      <c r="J12" s="19"/>
      <c r="K12" s="19"/>
      <c r="M12">
        <v>1.0</v>
      </c>
      <c r="Q12" t="s">
        <v>341</v>
      </c>
      <c r="R12" t="s">
        <v>342</v>
      </c>
      <c r="S12">
        <v>7.0</v>
      </c>
      <c r="T12" t="s">
        <v>343</v>
      </c>
      <c r="U12" t="s">
        <v>154</v>
      </c>
      <c r="W12" s="79">
        <v>7.0</v>
      </c>
      <c r="X12" s="80" t="s">
        <v>344</v>
      </c>
    </row>
    <row r="13">
      <c r="B13" s="18" t="str">
        <f t="shared" si="2"/>
        <v>8</v>
      </c>
      <c r="C13" s="18">
        <v>6008.0</v>
      </c>
      <c r="D13" s="18" t="s">
        <v>341</v>
      </c>
      <c r="E13" s="18" t="s">
        <v>342</v>
      </c>
      <c r="F13" s="18" t="s">
        <v>345</v>
      </c>
      <c r="G13" s="19" t="s">
        <v>41</v>
      </c>
      <c r="H13" s="18" t="s">
        <v>41</v>
      </c>
      <c r="I13" s="18" t="str">
        <f t="shared" si="1"/>
        <v>Agente 8</v>
      </c>
      <c r="J13" s="19"/>
      <c r="K13" s="19" t="s">
        <v>346</v>
      </c>
      <c r="M13">
        <v>1.0</v>
      </c>
      <c r="Q13" t="s">
        <v>347</v>
      </c>
      <c r="R13" t="s">
        <v>348</v>
      </c>
      <c r="S13">
        <v>8.0</v>
      </c>
      <c r="T13" t="s">
        <v>349</v>
      </c>
      <c r="U13" t="s">
        <v>154</v>
      </c>
      <c r="W13" s="79">
        <v>8.0</v>
      </c>
      <c r="X13" s="80" t="s">
        <v>349</v>
      </c>
    </row>
    <row r="14">
      <c r="B14" s="18" t="str">
        <f t="shared" si="2"/>
        <v>9</v>
      </c>
      <c r="C14" s="76">
        <v>6009.0</v>
      </c>
      <c r="D14" s="18" t="s">
        <v>350</v>
      </c>
      <c r="E14" s="18" t="s">
        <v>351</v>
      </c>
      <c r="F14" s="18" t="s">
        <v>352</v>
      </c>
      <c r="G14" s="19" t="s">
        <v>353</v>
      </c>
      <c r="H14" s="18" t="s">
        <v>325</v>
      </c>
      <c r="I14" s="18" t="str">
        <f t="shared" si="1"/>
        <v>Agente 9</v>
      </c>
      <c r="J14" s="19"/>
      <c r="K14" s="19"/>
      <c r="Q14" t="s">
        <v>354</v>
      </c>
      <c r="R14" t="s">
        <v>355</v>
      </c>
      <c r="S14">
        <v>9.0</v>
      </c>
      <c r="T14" t="s">
        <v>353</v>
      </c>
      <c r="U14" t="s">
        <v>154</v>
      </c>
      <c r="W14" s="79">
        <v>9.0</v>
      </c>
      <c r="X14" s="81" t="s">
        <v>353</v>
      </c>
    </row>
    <row r="15">
      <c r="B15" s="18" t="str">
        <f t="shared" si="2"/>
        <v>10</v>
      </c>
      <c r="C15" s="18">
        <v>6010.0</v>
      </c>
      <c r="D15" s="18" t="s">
        <v>356</v>
      </c>
      <c r="E15" s="18" t="s">
        <v>357</v>
      </c>
      <c r="F15" s="18" t="s">
        <v>358</v>
      </c>
      <c r="G15" s="19" t="s">
        <v>359</v>
      </c>
      <c r="H15" s="18" t="s">
        <v>325</v>
      </c>
      <c r="I15" s="18" t="str">
        <f t="shared" si="1"/>
        <v>Agente 10</v>
      </c>
      <c r="J15" s="19"/>
      <c r="K15" s="19"/>
      <c r="Q15" t="s">
        <v>360</v>
      </c>
      <c r="R15" t="s">
        <v>361</v>
      </c>
      <c r="S15">
        <v>10.0</v>
      </c>
      <c r="T15" t="s">
        <v>359</v>
      </c>
      <c r="U15" t="s">
        <v>154</v>
      </c>
      <c r="W15" s="79">
        <v>10.0</v>
      </c>
      <c r="X15" s="81" t="s">
        <v>359</v>
      </c>
    </row>
    <row r="16">
      <c r="B16" s="18" t="str">
        <f t="shared" si="2"/>
        <v>11</v>
      </c>
      <c r="C16" s="76">
        <v>6011.0</v>
      </c>
      <c r="D16" s="18" t="s">
        <v>347</v>
      </c>
      <c r="E16" s="18" t="s">
        <v>348</v>
      </c>
      <c r="F16" s="18" t="s">
        <v>362</v>
      </c>
      <c r="G16" s="19" t="s">
        <v>363</v>
      </c>
      <c r="H16" s="18" t="s">
        <v>325</v>
      </c>
      <c r="I16" s="18" t="str">
        <f t="shared" si="1"/>
        <v>Agente 11</v>
      </c>
      <c r="J16" s="19"/>
      <c r="K16" s="19"/>
      <c r="Q16" t="s">
        <v>364</v>
      </c>
      <c r="R16" t="s">
        <v>365</v>
      </c>
      <c r="S16">
        <v>11.0</v>
      </c>
      <c r="T16" t="s">
        <v>366</v>
      </c>
      <c r="U16" t="s">
        <v>154</v>
      </c>
      <c r="W16" s="79">
        <v>11.0</v>
      </c>
      <c r="X16" s="81" t="s">
        <v>366</v>
      </c>
    </row>
    <row r="17">
      <c r="B17" s="18" t="str">
        <f t="shared" si="2"/>
        <v>12</v>
      </c>
      <c r="C17" s="18">
        <v>6012.0</v>
      </c>
      <c r="D17" s="18" t="s">
        <v>367</v>
      </c>
      <c r="E17" s="18" t="s">
        <v>368</v>
      </c>
      <c r="F17" s="18" t="s">
        <v>369</v>
      </c>
      <c r="G17" s="19" t="s">
        <v>370</v>
      </c>
      <c r="H17" s="18" t="s">
        <v>315</v>
      </c>
      <c r="I17" s="18" t="str">
        <f t="shared" si="1"/>
        <v>Agente 12</v>
      </c>
      <c r="J17" s="19"/>
      <c r="K17" s="19"/>
      <c r="M17">
        <v>1.0</v>
      </c>
      <c r="Q17" t="s">
        <v>371</v>
      </c>
      <c r="R17" t="s">
        <v>372</v>
      </c>
      <c r="S17">
        <v>12.0</v>
      </c>
      <c r="T17" t="s">
        <v>373</v>
      </c>
      <c r="U17" t="s">
        <v>154</v>
      </c>
      <c r="W17" s="79">
        <v>12.0</v>
      </c>
      <c r="X17" s="80" t="s">
        <v>374</v>
      </c>
    </row>
    <row r="18">
      <c r="B18" s="18" t="str">
        <f t="shared" si="2"/>
        <v>13</v>
      </c>
      <c r="C18" s="76">
        <v>6013.0</v>
      </c>
      <c r="D18" s="18" t="s">
        <v>354</v>
      </c>
      <c r="E18" s="18" t="s">
        <v>355</v>
      </c>
      <c r="F18" s="18" t="s">
        <v>375</v>
      </c>
      <c r="G18" s="19" t="s">
        <v>41</v>
      </c>
      <c r="H18" s="18" t="s">
        <v>41</v>
      </c>
      <c r="I18" s="18" t="str">
        <f t="shared" si="1"/>
        <v>Agente 13</v>
      </c>
      <c r="J18" s="19"/>
      <c r="K18" s="19"/>
      <c r="L18">
        <v>1.0</v>
      </c>
      <c r="Q18" t="s">
        <v>376</v>
      </c>
      <c r="R18" t="s">
        <v>377</v>
      </c>
      <c r="S18">
        <v>13.0</v>
      </c>
      <c r="T18" t="s">
        <v>378</v>
      </c>
      <c r="U18" t="s">
        <v>154</v>
      </c>
      <c r="W18" s="79">
        <v>13.0</v>
      </c>
      <c r="X18" s="80" t="s">
        <v>378</v>
      </c>
    </row>
    <row r="19">
      <c r="B19" s="18" t="str">
        <f t="shared" si="2"/>
        <v>14</v>
      </c>
      <c r="C19" s="18">
        <v>6014.0</v>
      </c>
      <c r="D19" s="18" t="s">
        <v>360</v>
      </c>
      <c r="E19" s="18" t="s">
        <v>361</v>
      </c>
      <c r="F19" s="18" t="s">
        <v>379</v>
      </c>
      <c r="G19" s="19" t="s">
        <v>380</v>
      </c>
      <c r="H19" s="18" t="s">
        <v>325</v>
      </c>
      <c r="I19" s="18" t="str">
        <f t="shared" si="1"/>
        <v>Agente 14</v>
      </c>
      <c r="J19" s="19"/>
      <c r="K19" s="19"/>
      <c r="Q19" t="s">
        <v>381</v>
      </c>
      <c r="R19" t="s">
        <v>382</v>
      </c>
      <c r="S19">
        <v>14.0</v>
      </c>
      <c r="T19" t="s">
        <v>383</v>
      </c>
      <c r="U19" t="s">
        <v>154</v>
      </c>
      <c r="W19" s="79">
        <v>14.0</v>
      </c>
      <c r="X19" s="81" t="s">
        <v>383</v>
      </c>
    </row>
    <row r="20">
      <c r="B20" s="18" t="str">
        <f t="shared" si="2"/>
        <v>15</v>
      </c>
      <c r="C20" s="76">
        <v>6015.0</v>
      </c>
      <c r="D20" s="18" t="s">
        <v>364</v>
      </c>
      <c r="E20" s="18" t="s">
        <v>365</v>
      </c>
      <c r="F20" s="18" t="s">
        <v>384</v>
      </c>
      <c r="G20" s="19" t="s">
        <v>226</v>
      </c>
      <c r="H20" s="18" t="s">
        <v>385</v>
      </c>
      <c r="I20" s="18" t="str">
        <f t="shared" si="1"/>
        <v>Agente 15</v>
      </c>
      <c r="J20" s="19"/>
      <c r="K20" s="19"/>
      <c r="L20">
        <v>1.0</v>
      </c>
      <c r="Q20" t="s">
        <v>386</v>
      </c>
      <c r="R20" t="s">
        <v>387</v>
      </c>
      <c r="S20">
        <v>15.0</v>
      </c>
      <c r="T20" t="s">
        <v>226</v>
      </c>
      <c r="U20" t="s">
        <v>154</v>
      </c>
      <c r="W20" s="79">
        <v>15.0</v>
      </c>
      <c r="X20" s="80" t="s">
        <v>226</v>
      </c>
    </row>
    <row r="21" ht="15.75" customHeight="1">
      <c r="B21" s="18" t="str">
        <f t="shared" si="2"/>
        <v>16</v>
      </c>
      <c r="C21" s="18">
        <v>6016.0</v>
      </c>
      <c r="D21" s="18" t="s">
        <v>371</v>
      </c>
      <c r="E21" s="18" t="s">
        <v>372</v>
      </c>
      <c r="F21" s="18" t="s">
        <v>388</v>
      </c>
      <c r="G21" s="19" t="s">
        <v>389</v>
      </c>
      <c r="H21" s="18" t="s">
        <v>390</v>
      </c>
      <c r="I21" s="18" t="str">
        <f t="shared" si="1"/>
        <v>Agente 16</v>
      </c>
      <c r="J21" s="19"/>
      <c r="K21" s="19"/>
      <c r="Q21" t="s">
        <v>391</v>
      </c>
      <c r="R21" t="s">
        <v>392</v>
      </c>
      <c r="S21">
        <v>16.0</v>
      </c>
      <c r="T21" t="s">
        <v>393</v>
      </c>
      <c r="U21" t="s">
        <v>154</v>
      </c>
      <c r="W21" s="79">
        <v>16.0</v>
      </c>
      <c r="X21" s="80" t="s">
        <v>394</v>
      </c>
    </row>
    <row r="22" ht="15.75" customHeight="1">
      <c r="B22" s="18" t="str">
        <f t="shared" si="2"/>
        <v>17</v>
      </c>
      <c r="C22" s="76">
        <v>6017.0</v>
      </c>
      <c r="D22" s="18" t="s">
        <v>376</v>
      </c>
      <c r="E22" s="18" t="s">
        <v>377</v>
      </c>
      <c r="F22" s="18" t="s">
        <v>395</v>
      </c>
      <c r="G22" s="19" t="s">
        <v>248</v>
      </c>
      <c r="H22" s="18" t="s">
        <v>154</v>
      </c>
      <c r="I22" s="18" t="str">
        <f t="shared" si="1"/>
        <v>Agente 17</v>
      </c>
      <c r="J22" s="19"/>
      <c r="K22" s="19" t="s">
        <v>396</v>
      </c>
      <c r="L22">
        <v>1.0</v>
      </c>
      <c r="Q22" t="s">
        <v>397</v>
      </c>
      <c r="R22" t="s">
        <v>398</v>
      </c>
      <c r="S22">
        <v>17.0</v>
      </c>
      <c r="T22" t="s">
        <v>248</v>
      </c>
      <c r="U22" t="s">
        <v>154</v>
      </c>
      <c r="W22" s="79">
        <v>17.0</v>
      </c>
      <c r="X22" s="80" t="s">
        <v>248</v>
      </c>
    </row>
    <row r="23" ht="15.75" customHeight="1">
      <c r="B23" s="18" t="str">
        <f t="shared" si="2"/>
        <v>18</v>
      </c>
      <c r="C23" s="18">
        <v>6018.0</v>
      </c>
      <c r="D23" s="18" t="s">
        <v>399</v>
      </c>
      <c r="E23" s="18" t="s">
        <v>400</v>
      </c>
      <c r="F23" s="18" t="s">
        <v>401</v>
      </c>
      <c r="G23" s="19" t="s">
        <v>402</v>
      </c>
      <c r="H23" s="18" t="s">
        <v>385</v>
      </c>
      <c r="I23" s="18" t="str">
        <f t="shared" si="1"/>
        <v>Agente 18</v>
      </c>
      <c r="J23" s="19"/>
      <c r="K23" s="19"/>
      <c r="Q23" t="s">
        <v>403</v>
      </c>
      <c r="R23" t="s">
        <v>404</v>
      </c>
      <c r="S23">
        <v>18.0</v>
      </c>
      <c r="T23" t="s">
        <v>402</v>
      </c>
      <c r="U23" t="s">
        <v>154</v>
      </c>
      <c r="W23" s="79">
        <v>18.0</v>
      </c>
      <c r="X23" s="81" t="s">
        <v>402</v>
      </c>
    </row>
    <row r="24" ht="15.75" customHeight="1">
      <c r="B24" s="18" t="str">
        <f t="shared" si="2"/>
        <v>19</v>
      </c>
      <c r="C24" s="76">
        <v>6019.0</v>
      </c>
      <c r="D24" s="18" t="s">
        <v>381</v>
      </c>
      <c r="E24" s="18" t="s">
        <v>382</v>
      </c>
      <c r="F24" s="18" t="s">
        <v>405</v>
      </c>
      <c r="G24" s="19" t="s">
        <v>406</v>
      </c>
      <c r="H24" s="18" t="s">
        <v>315</v>
      </c>
      <c r="I24" s="18" t="str">
        <f t="shared" si="1"/>
        <v>Agente 19</v>
      </c>
      <c r="J24" s="19"/>
      <c r="K24" s="19"/>
      <c r="M24">
        <v>1.0</v>
      </c>
      <c r="Q24" t="s">
        <v>407</v>
      </c>
      <c r="R24" t="s">
        <v>408</v>
      </c>
      <c r="S24">
        <v>19.0</v>
      </c>
      <c r="T24" t="s">
        <v>406</v>
      </c>
      <c r="U24" t="s">
        <v>154</v>
      </c>
      <c r="W24" s="79">
        <v>19.0</v>
      </c>
      <c r="X24" s="81" t="s">
        <v>406</v>
      </c>
    </row>
    <row r="25" ht="15.75" customHeight="1">
      <c r="B25" s="18" t="str">
        <f t="shared" si="2"/>
        <v>20</v>
      </c>
      <c r="C25" s="18">
        <v>6020.0</v>
      </c>
      <c r="D25" s="18" t="s">
        <v>386</v>
      </c>
      <c r="E25" s="18" t="s">
        <v>387</v>
      </c>
      <c r="F25" s="18" t="s">
        <v>409</v>
      </c>
      <c r="G25" s="19" t="s">
        <v>410</v>
      </c>
      <c r="H25" s="18" t="s">
        <v>325</v>
      </c>
      <c r="I25" s="18" t="str">
        <f t="shared" si="1"/>
        <v>Agente 20</v>
      </c>
      <c r="J25" s="19"/>
      <c r="K25" s="19"/>
      <c r="L25">
        <v>1.0</v>
      </c>
      <c r="Q25" t="s">
        <v>411</v>
      </c>
      <c r="R25" t="s">
        <v>412</v>
      </c>
      <c r="S25">
        <v>20.0</v>
      </c>
      <c r="T25" t="s">
        <v>410</v>
      </c>
      <c r="U25" t="s">
        <v>154</v>
      </c>
      <c r="W25" s="79">
        <v>20.0</v>
      </c>
      <c r="X25" s="81" t="s">
        <v>410</v>
      </c>
    </row>
    <row r="26" ht="15.75" customHeight="1">
      <c r="B26" s="18" t="str">
        <f t="shared" si="2"/>
        <v>21</v>
      </c>
      <c r="C26" s="76">
        <v>6021.0</v>
      </c>
      <c r="D26" s="18" t="s">
        <v>391</v>
      </c>
      <c r="E26" s="18" t="s">
        <v>392</v>
      </c>
      <c r="F26" s="18" t="s">
        <v>413</v>
      </c>
      <c r="G26" s="19" t="s">
        <v>414</v>
      </c>
      <c r="H26" s="18" t="s">
        <v>415</v>
      </c>
      <c r="I26" s="18" t="str">
        <f t="shared" si="1"/>
        <v>Agente 21</v>
      </c>
      <c r="J26" s="19"/>
      <c r="K26" s="19"/>
      <c r="Q26" t="s">
        <v>416</v>
      </c>
      <c r="R26" t="s">
        <v>417</v>
      </c>
      <c r="S26">
        <v>21.0</v>
      </c>
      <c r="T26" t="s">
        <v>418</v>
      </c>
      <c r="U26" t="s">
        <v>154</v>
      </c>
      <c r="W26" s="79">
        <v>21.0</v>
      </c>
      <c r="X26" s="80" t="s">
        <v>419</v>
      </c>
    </row>
    <row r="27" ht="15.75" customHeight="1">
      <c r="B27" s="18" t="str">
        <f t="shared" si="2"/>
        <v>22</v>
      </c>
      <c r="C27" s="18">
        <v>6022.0</v>
      </c>
      <c r="D27" s="18" t="s">
        <v>397</v>
      </c>
      <c r="E27" s="18" t="s">
        <v>398</v>
      </c>
      <c r="F27" s="18" t="s">
        <v>420</v>
      </c>
      <c r="G27" s="19" t="s">
        <v>41</v>
      </c>
      <c r="H27" s="18" t="s">
        <v>41</v>
      </c>
      <c r="I27" s="18" t="str">
        <f t="shared" si="1"/>
        <v>Agente 22</v>
      </c>
      <c r="J27" s="19"/>
      <c r="K27" s="19"/>
      <c r="N27">
        <v>3.0004529E7</v>
      </c>
      <c r="Q27" t="s">
        <v>421</v>
      </c>
      <c r="R27" t="s">
        <v>422</v>
      </c>
      <c r="S27">
        <v>22.0</v>
      </c>
      <c r="T27" t="s">
        <v>423</v>
      </c>
      <c r="U27" t="s">
        <v>154</v>
      </c>
      <c r="W27" s="79">
        <v>22.0</v>
      </c>
      <c r="X27" s="81" t="s">
        <v>423</v>
      </c>
    </row>
    <row r="28" ht="15.75" customHeight="1">
      <c r="B28" s="18" t="str">
        <f t="shared" si="2"/>
        <v>23</v>
      </c>
      <c r="C28" s="76">
        <v>6023.0</v>
      </c>
      <c r="D28" s="18" t="s">
        <v>424</v>
      </c>
      <c r="E28" s="18" t="s">
        <v>425</v>
      </c>
      <c r="F28" s="18" t="s">
        <v>426</v>
      </c>
      <c r="G28" s="19" t="s">
        <v>243</v>
      </c>
      <c r="H28" s="18" t="s">
        <v>154</v>
      </c>
      <c r="I28" s="18" t="str">
        <f t="shared" si="1"/>
        <v>Agente 23</v>
      </c>
      <c r="J28" s="19"/>
      <c r="K28" s="19"/>
      <c r="Q28" t="s">
        <v>427</v>
      </c>
      <c r="R28" t="s">
        <v>428</v>
      </c>
      <c r="S28">
        <v>23.0</v>
      </c>
      <c r="T28" t="s">
        <v>243</v>
      </c>
      <c r="U28" t="s">
        <v>154</v>
      </c>
      <c r="W28" s="79">
        <v>23.0</v>
      </c>
      <c r="X28" s="80" t="s">
        <v>243</v>
      </c>
    </row>
    <row r="29" ht="15.75" customHeight="1">
      <c r="B29" s="18" t="str">
        <f t="shared" si="2"/>
        <v>24</v>
      </c>
      <c r="C29" s="18">
        <v>6024.0</v>
      </c>
      <c r="D29" s="18" t="s">
        <v>403</v>
      </c>
      <c r="E29" s="18" t="s">
        <v>404</v>
      </c>
      <c r="F29" s="18" t="s">
        <v>429</v>
      </c>
      <c r="G29" s="19" t="s">
        <v>430</v>
      </c>
      <c r="H29" s="18" t="s">
        <v>315</v>
      </c>
      <c r="I29" s="18" t="str">
        <f t="shared" si="1"/>
        <v>Agente 24</v>
      </c>
      <c r="J29" s="19"/>
      <c r="K29" s="19"/>
      <c r="L29">
        <v>1.0</v>
      </c>
      <c r="Q29" t="s">
        <v>431</v>
      </c>
      <c r="R29" t="s">
        <v>432</v>
      </c>
      <c r="S29">
        <v>24.0</v>
      </c>
      <c r="T29" t="s">
        <v>430</v>
      </c>
      <c r="U29" t="s">
        <v>154</v>
      </c>
      <c r="W29" s="79">
        <v>24.0</v>
      </c>
      <c r="X29" s="81" t="s">
        <v>430</v>
      </c>
    </row>
    <row r="30" ht="15.75" customHeight="1">
      <c r="B30" s="18" t="str">
        <f t="shared" si="2"/>
        <v>25</v>
      </c>
      <c r="C30" s="76">
        <v>6025.0</v>
      </c>
      <c r="D30" s="18" t="s">
        <v>433</v>
      </c>
      <c r="E30" s="18" t="s">
        <v>434</v>
      </c>
      <c r="F30" s="18" t="s">
        <v>435</v>
      </c>
      <c r="G30" s="19" t="s">
        <v>229</v>
      </c>
      <c r="H30" s="18" t="s">
        <v>154</v>
      </c>
      <c r="I30" s="18" t="str">
        <f t="shared" si="1"/>
        <v>Agente 25</v>
      </c>
      <c r="J30" s="19"/>
      <c r="K30" s="19"/>
      <c r="M30">
        <v>1.0</v>
      </c>
      <c r="Q30" t="s">
        <v>436</v>
      </c>
      <c r="R30" t="s">
        <v>437</v>
      </c>
      <c r="S30">
        <v>25.0</v>
      </c>
      <c r="T30" t="s">
        <v>229</v>
      </c>
      <c r="U30" t="s">
        <v>154</v>
      </c>
      <c r="W30" s="79">
        <v>25.0</v>
      </c>
      <c r="X30" s="80" t="s">
        <v>229</v>
      </c>
    </row>
    <row r="31" ht="15.75" customHeight="1">
      <c r="B31" s="18" t="str">
        <f t="shared" si="2"/>
        <v>26</v>
      </c>
      <c r="C31" s="18">
        <v>6026.0</v>
      </c>
      <c r="D31" s="18" t="s">
        <v>438</v>
      </c>
      <c r="E31" s="18" t="s">
        <v>439</v>
      </c>
      <c r="F31" s="18" t="s">
        <v>440</v>
      </c>
      <c r="G31" s="19" t="s">
        <v>441</v>
      </c>
      <c r="H31" s="18" t="s">
        <v>325</v>
      </c>
      <c r="I31" s="18" t="str">
        <f t="shared" si="1"/>
        <v>Agente 26</v>
      </c>
      <c r="J31" s="19"/>
      <c r="K31" s="19"/>
      <c r="Q31" t="s">
        <v>442</v>
      </c>
      <c r="R31" t="s">
        <v>443</v>
      </c>
      <c r="S31">
        <v>26.0</v>
      </c>
      <c r="T31" t="s">
        <v>441</v>
      </c>
      <c r="U31" t="s">
        <v>154</v>
      </c>
      <c r="W31" s="79">
        <v>26.0</v>
      </c>
      <c r="X31" s="81" t="s">
        <v>441</v>
      </c>
    </row>
    <row r="32" ht="15.75" customHeight="1">
      <c r="B32" s="18" t="str">
        <f t="shared" si="2"/>
        <v>27</v>
      </c>
      <c r="C32" s="76">
        <v>6027.0</v>
      </c>
      <c r="D32" s="18" t="s">
        <v>407</v>
      </c>
      <c r="E32" s="18" t="s">
        <v>408</v>
      </c>
      <c r="F32" s="18" t="s">
        <v>444</v>
      </c>
      <c r="G32" s="19" t="s">
        <v>445</v>
      </c>
      <c r="H32" s="18" t="s">
        <v>154</v>
      </c>
      <c r="I32" s="18" t="str">
        <f t="shared" si="1"/>
        <v>Agente 27</v>
      </c>
      <c r="J32" s="19"/>
      <c r="K32" s="19"/>
      <c r="M32">
        <v>1.0</v>
      </c>
      <c r="Q32" t="s">
        <v>446</v>
      </c>
      <c r="R32" t="s">
        <v>447</v>
      </c>
      <c r="S32">
        <v>27.0</v>
      </c>
      <c r="T32" t="s">
        <v>445</v>
      </c>
      <c r="U32" t="s">
        <v>154</v>
      </c>
      <c r="W32" s="79">
        <v>27.0</v>
      </c>
      <c r="X32" s="81" t="s">
        <v>445</v>
      </c>
    </row>
    <row r="33" ht="15.75" customHeight="1">
      <c r="B33" s="18" t="str">
        <f t="shared" si="2"/>
        <v>28</v>
      </c>
      <c r="C33" s="18">
        <v>6028.0</v>
      </c>
      <c r="D33" s="18" t="s">
        <v>411</v>
      </c>
      <c r="E33" s="18" t="s">
        <v>412</v>
      </c>
      <c r="F33" s="18" t="s">
        <v>448</v>
      </c>
      <c r="G33" s="19" t="s">
        <v>41</v>
      </c>
      <c r="H33" s="18" t="s">
        <v>41</v>
      </c>
      <c r="I33" s="18" t="str">
        <f t="shared" si="1"/>
        <v>Agente 28</v>
      </c>
      <c r="J33" s="19"/>
      <c r="K33" s="19"/>
      <c r="Q33" t="s">
        <v>449</v>
      </c>
      <c r="R33" t="s">
        <v>450</v>
      </c>
      <c r="S33">
        <v>28.0</v>
      </c>
      <c r="T33" t="s">
        <v>451</v>
      </c>
      <c r="U33" t="s">
        <v>154</v>
      </c>
      <c r="W33" s="79">
        <v>28.0</v>
      </c>
      <c r="X33" s="81" t="s">
        <v>451</v>
      </c>
    </row>
    <row r="34" ht="15.75" customHeight="1">
      <c r="B34" s="18" t="str">
        <f t="shared" si="2"/>
        <v>29</v>
      </c>
      <c r="C34" s="76">
        <v>6029.0</v>
      </c>
      <c r="D34" s="18" t="s">
        <v>416</v>
      </c>
      <c r="E34" s="18" t="s">
        <v>417</v>
      </c>
      <c r="F34" s="18" t="s">
        <v>452</v>
      </c>
      <c r="G34" s="19" t="s">
        <v>41</v>
      </c>
      <c r="H34" s="18" t="s">
        <v>41</v>
      </c>
      <c r="I34" s="18" t="str">
        <f t="shared" si="1"/>
        <v>Agente 29</v>
      </c>
      <c r="J34" s="19"/>
      <c r="K34" s="19"/>
      <c r="S34">
        <v>29.0</v>
      </c>
      <c r="T34" t="s">
        <v>251</v>
      </c>
      <c r="W34" s="79">
        <v>29.0</v>
      </c>
      <c r="X34" s="80" t="s">
        <v>251</v>
      </c>
    </row>
    <row r="35" ht="15.75" customHeight="1">
      <c r="B35" s="18" t="str">
        <f t="shared" si="2"/>
        <v>30</v>
      </c>
      <c r="C35" s="18">
        <v>6030.0</v>
      </c>
      <c r="D35" s="18" t="s">
        <v>421</v>
      </c>
      <c r="E35" s="18" t="s">
        <v>422</v>
      </c>
      <c r="F35" s="18" t="s">
        <v>453</v>
      </c>
      <c r="G35" s="19" t="s">
        <v>454</v>
      </c>
      <c r="H35" s="18" t="s">
        <v>315</v>
      </c>
      <c r="I35" s="18" t="str">
        <f t="shared" si="1"/>
        <v>Agente 30</v>
      </c>
      <c r="J35" s="19"/>
      <c r="K35" s="19"/>
      <c r="M35">
        <v>1.0</v>
      </c>
      <c r="S35">
        <v>30.0</v>
      </c>
      <c r="T35" t="s">
        <v>455</v>
      </c>
      <c r="W35" s="79">
        <v>30.0</v>
      </c>
      <c r="X35" s="81" t="s">
        <v>455</v>
      </c>
    </row>
    <row r="36" ht="15.75" customHeight="1">
      <c r="B36" s="18" t="str">
        <f t="shared" si="2"/>
        <v>31</v>
      </c>
      <c r="C36" s="76">
        <v>6031.0</v>
      </c>
      <c r="D36" s="18" t="s">
        <v>427</v>
      </c>
      <c r="E36" s="18" t="s">
        <v>428</v>
      </c>
      <c r="F36" s="18" t="s">
        <v>456</v>
      </c>
      <c r="G36" s="19" t="s">
        <v>457</v>
      </c>
      <c r="H36" s="18" t="s">
        <v>154</v>
      </c>
      <c r="I36" s="18" t="str">
        <f t="shared" si="1"/>
        <v>Agente 31</v>
      </c>
      <c r="J36" s="19"/>
      <c r="K36" s="19"/>
      <c r="L36">
        <v>1.0</v>
      </c>
      <c r="S36">
        <v>31.0</v>
      </c>
      <c r="T36" t="s">
        <v>246</v>
      </c>
      <c r="W36" s="79">
        <v>31.0</v>
      </c>
      <c r="X36" s="80" t="s">
        <v>246</v>
      </c>
    </row>
    <row r="37" ht="15.75" customHeight="1">
      <c r="B37" s="18" t="str">
        <f t="shared" si="2"/>
        <v>32</v>
      </c>
      <c r="C37" s="18">
        <v>6032.0</v>
      </c>
      <c r="D37" s="18" t="s">
        <v>458</v>
      </c>
      <c r="E37" s="18" t="s">
        <v>459</v>
      </c>
      <c r="F37" s="18" t="s">
        <v>460</v>
      </c>
      <c r="G37" s="19" t="s">
        <v>239</v>
      </c>
      <c r="H37" s="18" t="s">
        <v>385</v>
      </c>
      <c r="I37" s="18" t="str">
        <f t="shared" si="1"/>
        <v>Agente 32</v>
      </c>
      <c r="J37" s="19"/>
      <c r="K37" s="19"/>
      <c r="L37">
        <v>1.0</v>
      </c>
      <c r="S37">
        <v>32.0</v>
      </c>
      <c r="T37" t="s">
        <v>239</v>
      </c>
      <c r="W37" s="79">
        <v>32.0</v>
      </c>
      <c r="X37" s="80" t="s">
        <v>239</v>
      </c>
    </row>
    <row r="38" ht="15.75" customHeight="1">
      <c r="B38" s="18" t="str">
        <f t="shared" si="2"/>
        <v>33</v>
      </c>
      <c r="C38" s="76">
        <v>6033.0</v>
      </c>
      <c r="D38" s="18" t="s">
        <v>431</v>
      </c>
      <c r="E38" s="18" t="s">
        <v>432</v>
      </c>
      <c r="F38" s="18" t="s">
        <v>461</v>
      </c>
      <c r="G38" s="19" t="s">
        <v>41</v>
      </c>
      <c r="H38" s="18" t="s">
        <v>41</v>
      </c>
      <c r="I38" s="18" t="str">
        <f t="shared" si="1"/>
        <v>Agente 33</v>
      </c>
      <c r="J38" s="19"/>
      <c r="K38" s="19"/>
      <c r="M38">
        <v>1.0</v>
      </c>
      <c r="S38">
        <v>33.0</v>
      </c>
      <c r="T38" t="s">
        <v>462</v>
      </c>
      <c r="W38" s="79">
        <v>33.0</v>
      </c>
      <c r="X38" s="81" t="s">
        <v>462</v>
      </c>
    </row>
    <row r="39" ht="15.75" customHeight="1">
      <c r="B39" s="18" t="str">
        <f t="shared" si="2"/>
        <v>34</v>
      </c>
      <c r="C39" s="18">
        <v>6034.0</v>
      </c>
      <c r="D39" s="18" t="s">
        <v>436</v>
      </c>
      <c r="E39" s="18" t="s">
        <v>437</v>
      </c>
      <c r="F39" s="18" t="s">
        <v>463</v>
      </c>
      <c r="G39" s="19" t="s">
        <v>464</v>
      </c>
      <c r="H39" s="18" t="s">
        <v>154</v>
      </c>
      <c r="I39" s="18" t="str">
        <f t="shared" si="1"/>
        <v>Agente 34</v>
      </c>
      <c r="J39" s="19"/>
      <c r="K39" s="19"/>
      <c r="L39">
        <v>1.0</v>
      </c>
      <c r="S39">
        <v>34.0</v>
      </c>
      <c r="T39" t="s">
        <v>465</v>
      </c>
      <c r="W39" s="79">
        <v>34.0</v>
      </c>
      <c r="X39" s="80" t="s">
        <v>466</v>
      </c>
    </row>
    <row r="40" ht="15.75" customHeight="1">
      <c r="B40" s="18" t="str">
        <f t="shared" si="2"/>
        <v>35</v>
      </c>
      <c r="C40" s="76">
        <v>6035.0</v>
      </c>
      <c r="D40" s="18" t="s">
        <v>442</v>
      </c>
      <c r="E40" s="18" t="s">
        <v>443</v>
      </c>
      <c r="F40" s="18" t="s">
        <v>467</v>
      </c>
      <c r="G40" s="19" t="s">
        <v>244</v>
      </c>
      <c r="H40" s="18" t="s">
        <v>154</v>
      </c>
      <c r="I40" s="18" t="str">
        <f t="shared" si="1"/>
        <v>Agente 35</v>
      </c>
      <c r="J40" s="19"/>
      <c r="K40" s="19"/>
      <c r="S40">
        <v>35.0</v>
      </c>
      <c r="T40" t="s">
        <v>244</v>
      </c>
      <c r="W40" s="79">
        <v>35.0</v>
      </c>
      <c r="X40" s="80" t="s">
        <v>244</v>
      </c>
    </row>
    <row r="41" ht="15.75" customHeight="1">
      <c r="B41" s="18" t="str">
        <f t="shared" si="2"/>
        <v>36</v>
      </c>
      <c r="C41" s="18">
        <v>6036.0</v>
      </c>
      <c r="D41" s="18" t="s">
        <v>446</v>
      </c>
      <c r="E41" s="18" t="s">
        <v>447</v>
      </c>
      <c r="F41" s="18" t="s">
        <v>468</v>
      </c>
      <c r="G41" s="19" t="s">
        <v>469</v>
      </c>
      <c r="H41" s="18" t="s">
        <v>154</v>
      </c>
      <c r="I41" s="18" t="str">
        <f t="shared" si="1"/>
        <v>Agente 36</v>
      </c>
      <c r="J41" s="19"/>
      <c r="K41" s="19" t="s">
        <v>470</v>
      </c>
      <c r="L41">
        <v>1.0</v>
      </c>
      <c r="S41">
        <v>36.0</v>
      </c>
      <c r="T41" t="s">
        <v>228</v>
      </c>
      <c r="W41" s="79">
        <v>36.0</v>
      </c>
      <c r="X41" s="80" t="s">
        <v>228</v>
      </c>
    </row>
    <row r="42" ht="15.75" customHeight="1">
      <c r="B42" s="18" t="str">
        <f t="shared" si="2"/>
        <v>37</v>
      </c>
      <c r="C42" s="76">
        <v>6037.0</v>
      </c>
      <c r="D42" s="18" t="s">
        <v>449</v>
      </c>
      <c r="E42" s="18" t="s">
        <v>450</v>
      </c>
      <c r="F42" s="18" t="s">
        <v>471</v>
      </c>
      <c r="G42" s="19" t="s">
        <v>184</v>
      </c>
      <c r="H42" s="18" t="s">
        <v>390</v>
      </c>
      <c r="I42" s="18" t="str">
        <f t="shared" si="1"/>
        <v>Agente 37</v>
      </c>
      <c r="J42" s="19"/>
      <c r="K42" s="19"/>
      <c r="S42">
        <v>37.0</v>
      </c>
      <c r="T42" t="s">
        <v>184</v>
      </c>
      <c r="W42" s="79">
        <v>37.0</v>
      </c>
      <c r="X42" s="80" t="s">
        <v>184</v>
      </c>
    </row>
    <row r="43" ht="15.75" customHeight="1">
      <c r="B43" s="18" t="str">
        <f t="shared" si="2"/>
        <v>38</v>
      </c>
      <c r="C43" s="18">
        <v>6038.0</v>
      </c>
      <c r="D43" s="18" t="s">
        <v>472</v>
      </c>
      <c r="E43" s="18" t="s">
        <v>473</v>
      </c>
      <c r="F43" s="18" t="s">
        <v>474</v>
      </c>
      <c r="G43" s="19" t="s">
        <v>250</v>
      </c>
      <c r="H43" s="18" t="s">
        <v>385</v>
      </c>
      <c r="I43" s="18" t="str">
        <f t="shared" si="1"/>
        <v>Agente 38</v>
      </c>
      <c r="J43" s="19"/>
      <c r="K43" s="19"/>
      <c r="S43">
        <v>38.0</v>
      </c>
      <c r="T43" t="s">
        <v>250</v>
      </c>
      <c r="W43" s="79">
        <v>38.0</v>
      </c>
      <c r="X43" s="80" t="s">
        <v>250</v>
      </c>
    </row>
    <row r="44" ht="15.75" customHeight="1">
      <c r="B44" s="18" t="str">
        <f t="shared" si="2"/>
        <v>39</v>
      </c>
      <c r="C44" s="76">
        <v>6041.0</v>
      </c>
      <c r="D44" s="18" t="s">
        <v>475</v>
      </c>
      <c r="E44" s="18" t="s">
        <v>476</v>
      </c>
      <c r="F44" s="18" t="s">
        <v>477</v>
      </c>
      <c r="G44" s="19" t="s">
        <v>478</v>
      </c>
      <c r="H44" s="18" t="s">
        <v>479</v>
      </c>
      <c r="I44" s="18"/>
      <c r="J44" s="19"/>
      <c r="K44" s="19"/>
      <c r="W44" s="79"/>
      <c r="X44" s="80"/>
    </row>
    <row r="45" ht="15.75" customHeight="1">
      <c r="B45" s="18" t="str">
        <f t="shared" si="2"/>
        <v>40</v>
      </c>
      <c r="C45" s="18">
        <v>6042.0</v>
      </c>
      <c r="D45" s="18" t="s">
        <v>480</v>
      </c>
      <c r="E45" s="18" t="s">
        <v>481</v>
      </c>
      <c r="F45" s="18" t="s">
        <v>482</v>
      </c>
      <c r="G45" s="19" t="s">
        <v>483</v>
      </c>
      <c r="H45" s="18" t="s">
        <v>390</v>
      </c>
      <c r="I45" s="18"/>
      <c r="J45" s="19"/>
      <c r="K45" s="19"/>
      <c r="W45" s="79"/>
      <c r="X45" s="80"/>
    </row>
    <row r="46" ht="15.75" customHeight="1">
      <c r="B46" s="18" t="str">
        <f t="shared" si="2"/>
        <v>41</v>
      </c>
      <c r="C46" s="76">
        <v>6043.0</v>
      </c>
      <c r="D46" s="18" t="s">
        <v>484</v>
      </c>
      <c r="E46" s="18" t="s">
        <v>485</v>
      </c>
      <c r="F46" s="18" t="s">
        <v>486</v>
      </c>
      <c r="G46" s="19" t="s">
        <v>487</v>
      </c>
      <c r="H46" s="18" t="s">
        <v>488</v>
      </c>
      <c r="I46" s="18"/>
      <c r="J46" s="19"/>
      <c r="K46" s="19"/>
      <c r="W46" s="79"/>
      <c r="X46" s="80"/>
    </row>
    <row r="47" ht="15.75" customHeight="1">
      <c r="B47" s="18" t="str">
        <f t="shared" si="2"/>
        <v>42</v>
      </c>
      <c r="C47" s="18">
        <v>6044.0</v>
      </c>
      <c r="D47" s="18" t="s">
        <v>489</v>
      </c>
      <c r="E47" s="18" t="s">
        <v>490</v>
      </c>
      <c r="F47" s="18" t="s">
        <v>491</v>
      </c>
      <c r="G47" s="19" t="s">
        <v>492</v>
      </c>
      <c r="H47" s="18" t="s">
        <v>390</v>
      </c>
      <c r="I47" s="18"/>
      <c r="J47" s="19"/>
      <c r="K47" s="19"/>
      <c r="W47" s="79"/>
      <c r="X47" s="80"/>
    </row>
    <row r="48" ht="15.75" customHeight="1">
      <c r="B48" s="18" t="str">
        <f t="shared" si="2"/>
        <v>43</v>
      </c>
      <c r="C48" s="76">
        <v>6045.0</v>
      </c>
      <c r="D48" s="18" t="s">
        <v>493</v>
      </c>
      <c r="E48" s="18" t="s">
        <v>494</v>
      </c>
      <c r="F48" s="18" t="s">
        <v>495</v>
      </c>
      <c r="G48" s="19" t="s">
        <v>496</v>
      </c>
      <c r="H48" s="18" t="s">
        <v>497</v>
      </c>
      <c r="I48" s="18" t="str">
        <f t="shared" ref="I48:I54" si="3">F48</f>
        <v>Agente 45</v>
      </c>
      <c r="J48" s="19"/>
      <c r="K48" s="19"/>
      <c r="W48" s="79"/>
      <c r="X48" s="80"/>
    </row>
    <row r="49" ht="15.75" customHeight="1">
      <c r="B49" s="18" t="str">
        <f t="shared" si="2"/>
        <v>44</v>
      </c>
      <c r="C49" s="18">
        <v>6046.0</v>
      </c>
      <c r="D49" s="18" t="s">
        <v>498</v>
      </c>
      <c r="E49" s="18" t="s">
        <v>499</v>
      </c>
      <c r="F49" s="18" t="s">
        <v>500</v>
      </c>
      <c r="G49" s="19" t="s">
        <v>247</v>
      </c>
      <c r="H49" s="18" t="s">
        <v>154</v>
      </c>
      <c r="I49" s="18" t="str">
        <f t="shared" si="3"/>
        <v>Agente 46</v>
      </c>
      <c r="J49" s="19"/>
      <c r="K49" s="19"/>
      <c r="W49" s="79"/>
      <c r="X49" s="80"/>
    </row>
    <row r="50" ht="15.75" customHeight="1">
      <c r="B50" s="18" t="str">
        <f t="shared" si="2"/>
        <v>45</v>
      </c>
      <c r="C50" s="76">
        <v>6047.0</v>
      </c>
      <c r="D50" s="18" t="s">
        <v>501</v>
      </c>
      <c r="E50" s="18" t="s">
        <v>502</v>
      </c>
      <c r="F50" s="18" t="s">
        <v>503</v>
      </c>
      <c r="G50" s="19" t="s">
        <v>41</v>
      </c>
      <c r="H50" s="18" t="s">
        <v>41</v>
      </c>
      <c r="I50" s="18" t="str">
        <f t="shared" si="3"/>
        <v>Agente 47</v>
      </c>
      <c r="J50" s="19"/>
      <c r="K50" s="19"/>
      <c r="M50">
        <v>1.0</v>
      </c>
      <c r="S50">
        <v>39.0</v>
      </c>
      <c r="T50" t="s">
        <v>504</v>
      </c>
      <c r="W50" s="79">
        <v>39.0</v>
      </c>
      <c r="X50" s="80" t="s">
        <v>504</v>
      </c>
    </row>
    <row r="51" ht="15.75" customHeight="1">
      <c r="B51" s="18" t="str">
        <f t="shared" si="2"/>
        <v>46</v>
      </c>
      <c r="C51" s="76">
        <v>6049.0</v>
      </c>
      <c r="D51" s="18" t="s">
        <v>505</v>
      </c>
      <c r="E51" s="18" t="s">
        <v>506</v>
      </c>
      <c r="F51" s="18" t="s">
        <v>507</v>
      </c>
      <c r="G51" s="19" t="s">
        <v>41</v>
      </c>
      <c r="H51" s="18" t="s">
        <v>41</v>
      </c>
      <c r="I51" s="18" t="str">
        <f t="shared" si="3"/>
        <v>Agente 48</v>
      </c>
      <c r="J51" s="19"/>
      <c r="K51" s="19"/>
      <c r="S51">
        <v>40.0</v>
      </c>
      <c r="T51" t="s">
        <v>508</v>
      </c>
      <c r="W51" s="79">
        <v>40.0</v>
      </c>
      <c r="X51" s="80" t="s">
        <v>508</v>
      </c>
    </row>
    <row r="52" ht="15.75" customHeight="1">
      <c r="B52" s="18" t="str">
        <f t="shared" si="2"/>
        <v>47</v>
      </c>
      <c r="C52" s="76">
        <v>6050.0</v>
      </c>
      <c r="D52" s="18" t="s">
        <v>509</v>
      </c>
      <c r="E52" s="18" t="s">
        <v>510</v>
      </c>
      <c r="F52" s="18" t="s">
        <v>511</v>
      </c>
      <c r="G52" s="19" t="s">
        <v>512</v>
      </c>
      <c r="H52" s="18" t="s">
        <v>325</v>
      </c>
      <c r="I52" s="18" t="str">
        <f t="shared" si="3"/>
        <v>Agente 50</v>
      </c>
      <c r="J52" s="19"/>
      <c r="K52" s="19"/>
      <c r="L52">
        <v>1.0</v>
      </c>
      <c r="S52">
        <v>45.0</v>
      </c>
      <c r="T52" t="s">
        <v>513</v>
      </c>
      <c r="W52" s="79">
        <v>45.0</v>
      </c>
      <c r="X52" s="80" t="s">
        <v>513</v>
      </c>
    </row>
    <row r="53" ht="15.75" customHeight="1">
      <c r="B53" s="18" t="str">
        <f t="shared" si="2"/>
        <v>48</v>
      </c>
      <c r="C53" s="18">
        <v>6051.0</v>
      </c>
      <c r="D53" s="18" t="s">
        <v>514</v>
      </c>
      <c r="E53" s="18" t="s">
        <v>515</v>
      </c>
      <c r="F53" s="18" t="s">
        <v>516</v>
      </c>
      <c r="G53" s="19" t="s">
        <v>517</v>
      </c>
      <c r="H53" s="18" t="s">
        <v>154</v>
      </c>
      <c r="I53" s="18" t="str">
        <f t="shared" si="3"/>
        <v>Agente 51</v>
      </c>
      <c r="J53" s="19"/>
      <c r="K53" s="19" t="s">
        <v>518</v>
      </c>
      <c r="M53">
        <v>1.0</v>
      </c>
      <c r="S53">
        <v>46.0</v>
      </c>
      <c r="T53" t="s">
        <v>247</v>
      </c>
      <c r="W53" s="79">
        <v>46.0</v>
      </c>
      <c r="X53" s="80" t="s">
        <v>247</v>
      </c>
    </row>
    <row r="54" ht="15.75" customHeight="1">
      <c r="B54" s="18" t="str">
        <f t="shared" si="2"/>
        <v>49</v>
      </c>
      <c r="C54" s="76">
        <v>6052.0</v>
      </c>
      <c r="D54" s="18" t="s">
        <v>519</v>
      </c>
      <c r="E54" s="18" t="s">
        <v>520</v>
      </c>
      <c r="F54" s="18" t="s">
        <v>521</v>
      </c>
      <c r="G54" s="19" t="s">
        <v>233</v>
      </c>
      <c r="H54" s="18" t="s">
        <v>522</v>
      </c>
      <c r="I54" s="18" t="str">
        <f t="shared" si="3"/>
        <v>Agente 52</v>
      </c>
      <c r="J54" s="19"/>
      <c r="K54" s="19"/>
      <c r="L54">
        <v>1.0</v>
      </c>
      <c r="S54">
        <v>47.0</v>
      </c>
      <c r="T54" t="s">
        <v>523</v>
      </c>
      <c r="W54" s="79">
        <v>47.0</v>
      </c>
      <c r="X54" s="80" t="s">
        <v>523</v>
      </c>
    </row>
    <row r="55" ht="15.75" customHeight="1">
      <c r="B55" s="18" t="str">
        <f t="shared" si="2"/>
        <v>50</v>
      </c>
      <c r="C55" s="76">
        <v>6053.0</v>
      </c>
      <c r="D55" s="18" t="s">
        <v>524</v>
      </c>
      <c r="E55" s="18" t="s">
        <v>525</v>
      </c>
      <c r="F55" s="18" t="s">
        <v>526</v>
      </c>
      <c r="G55" s="19" t="s">
        <v>41</v>
      </c>
      <c r="H55" s="18" t="s">
        <v>154</v>
      </c>
      <c r="I55" s="18" t="s">
        <v>41</v>
      </c>
      <c r="J55" s="19"/>
      <c r="K55" s="19"/>
      <c r="M55">
        <v>1.0</v>
      </c>
      <c r="S55">
        <v>48.0</v>
      </c>
      <c r="T55" t="s">
        <v>169</v>
      </c>
      <c r="W55" s="79">
        <v>48.0</v>
      </c>
      <c r="X55" s="80" t="s">
        <v>169</v>
      </c>
    </row>
    <row r="56" ht="15.75" customHeight="1">
      <c r="B56" s="18" t="str">
        <f t="shared" si="2"/>
        <v>51</v>
      </c>
      <c r="C56" s="18">
        <v>6054.0</v>
      </c>
      <c r="D56" s="18" t="s">
        <v>527</v>
      </c>
      <c r="E56" s="18" t="s">
        <v>528</v>
      </c>
      <c r="F56" s="18" t="s">
        <v>529</v>
      </c>
      <c r="G56" s="19" t="s">
        <v>235</v>
      </c>
      <c r="H56" s="18" t="s">
        <v>154</v>
      </c>
      <c r="I56" s="18" t="str">
        <f t="shared" ref="I56:I84" si="4">F56</f>
        <v>Agente 54</v>
      </c>
      <c r="J56" s="19"/>
      <c r="K56" s="19" t="s">
        <v>530</v>
      </c>
      <c r="S56">
        <v>49.0</v>
      </c>
      <c r="T56" t="s">
        <v>523</v>
      </c>
      <c r="W56" s="79">
        <v>49.0</v>
      </c>
      <c r="X56" s="80" t="s">
        <v>523</v>
      </c>
    </row>
    <row r="57" ht="15.75" customHeight="1">
      <c r="B57" s="18" t="str">
        <f t="shared" si="2"/>
        <v>52</v>
      </c>
      <c r="C57" s="76">
        <v>6055.0</v>
      </c>
      <c r="D57" s="18" t="s">
        <v>531</v>
      </c>
      <c r="E57" s="18" t="s">
        <v>532</v>
      </c>
      <c r="F57" s="18" t="s">
        <v>533</v>
      </c>
      <c r="G57" s="19" t="s">
        <v>237</v>
      </c>
      <c r="H57" s="18" t="s">
        <v>385</v>
      </c>
      <c r="I57" s="18" t="str">
        <f t="shared" si="4"/>
        <v>Agente 55</v>
      </c>
      <c r="J57" s="19"/>
      <c r="K57" s="19"/>
      <c r="M57">
        <v>1.0</v>
      </c>
      <c r="S57">
        <v>50.0</v>
      </c>
      <c r="T57" t="s">
        <v>231</v>
      </c>
      <c r="W57" s="79">
        <v>50.0</v>
      </c>
      <c r="X57" s="80" t="s">
        <v>231</v>
      </c>
    </row>
    <row r="58" ht="15.75" customHeight="1">
      <c r="B58" s="18" t="str">
        <f t="shared" si="2"/>
        <v>53</v>
      </c>
      <c r="C58" s="76">
        <v>6056.0</v>
      </c>
      <c r="D58" s="18" t="s">
        <v>534</v>
      </c>
      <c r="E58" s="18" t="s">
        <v>535</v>
      </c>
      <c r="F58" s="18" t="s">
        <v>536</v>
      </c>
      <c r="G58" s="19" t="s">
        <v>236</v>
      </c>
      <c r="H58" s="18" t="s">
        <v>154</v>
      </c>
      <c r="I58" s="18" t="str">
        <f t="shared" si="4"/>
        <v>Agente 56</v>
      </c>
      <c r="J58" s="19"/>
      <c r="K58" s="19"/>
      <c r="L58">
        <v>1.0</v>
      </c>
      <c r="S58">
        <v>51.0</v>
      </c>
      <c r="T58" t="s">
        <v>232</v>
      </c>
      <c r="W58" s="79">
        <v>51.0</v>
      </c>
      <c r="X58" s="80" t="s">
        <v>232</v>
      </c>
    </row>
    <row r="59" ht="15.75" customHeight="1">
      <c r="B59" s="18" t="str">
        <f t="shared" si="2"/>
        <v>54</v>
      </c>
      <c r="C59" s="18">
        <v>6057.0</v>
      </c>
      <c r="D59" s="18" t="s">
        <v>537</v>
      </c>
      <c r="E59" s="18" t="s">
        <v>538</v>
      </c>
      <c r="F59" s="18" t="s">
        <v>539</v>
      </c>
      <c r="G59" s="19" t="s">
        <v>249</v>
      </c>
      <c r="H59" s="18" t="s">
        <v>385</v>
      </c>
      <c r="I59" s="18" t="str">
        <f t="shared" si="4"/>
        <v>Agente 57</v>
      </c>
      <c r="J59" s="19"/>
      <c r="K59" s="19"/>
      <c r="S59">
        <v>52.0</v>
      </c>
      <c r="T59" t="s">
        <v>233</v>
      </c>
      <c r="W59" s="79">
        <v>52.0</v>
      </c>
      <c r="X59" s="80" t="s">
        <v>233</v>
      </c>
    </row>
    <row r="60" ht="15.75" customHeight="1">
      <c r="B60" s="18" t="str">
        <f t="shared" si="2"/>
        <v>55</v>
      </c>
      <c r="C60" s="18">
        <v>6058.0</v>
      </c>
      <c r="D60" s="18" t="s">
        <v>540</v>
      </c>
      <c r="E60" s="18" t="s">
        <v>541</v>
      </c>
      <c r="F60" s="18" t="s">
        <v>542</v>
      </c>
      <c r="G60" s="19" t="s">
        <v>240</v>
      </c>
      <c r="H60" s="18" t="s">
        <v>325</v>
      </c>
      <c r="I60" s="18" t="str">
        <f t="shared" si="4"/>
        <v>Agente 58</v>
      </c>
      <c r="J60" s="19"/>
      <c r="K60" s="19"/>
      <c r="S60">
        <v>53.0</v>
      </c>
      <c r="T60" t="s">
        <v>242</v>
      </c>
      <c r="W60" s="79">
        <v>53.0</v>
      </c>
      <c r="X60" s="80" t="s">
        <v>242</v>
      </c>
    </row>
    <row r="61" ht="15.75" customHeight="1">
      <c r="B61" s="18" t="str">
        <f t="shared" si="2"/>
        <v>56</v>
      </c>
      <c r="C61" s="18">
        <v>6059.0</v>
      </c>
      <c r="D61" s="18" t="s">
        <v>543</v>
      </c>
      <c r="E61" s="18" t="s">
        <v>544</v>
      </c>
      <c r="F61" s="18" t="s">
        <v>545</v>
      </c>
      <c r="G61" s="19" t="s">
        <v>260</v>
      </c>
      <c r="H61" s="18" t="s">
        <v>154</v>
      </c>
      <c r="I61" s="18" t="str">
        <f t="shared" si="4"/>
        <v>Agente 59</v>
      </c>
      <c r="J61" s="19"/>
      <c r="K61" s="19"/>
      <c r="W61" s="79"/>
      <c r="X61" s="80"/>
    </row>
    <row r="62" ht="15.75" customHeight="1">
      <c r="B62" s="18" t="str">
        <f t="shared" si="2"/>
        <v>57</v>
      </c>
      <c r="C62" s="18">
        <v>6060.0</v>
      </c>
      <c r="D62" s="18" t="s">
        <v>546</v>
      </c>
      <c r="E62" s="18" t="s">
        <v>547</v>
      </c>
      <c r="F62" s="18" t="s">
        <v>548</v>
      </c>
      <c r="G62" s="19" t="s">
        <v>259</v>
      </c>
      <c r="H62" s="18" t="s">
        <v>154</v>
      </c>
      <c r="I62" s="18" t="str">
        <f t="shared" si="4"/>
        <v>Agente 60</v>
      </c>
      <c r="J62" s="19"/>
      <c r="K62" s="19"/>
      <c r="W62" s="79"/>
      <c r="X62" s="80"/>
    </row>
    <row r="63" ht="15.75" customHeight="1">
      <c r="B63" s="18" t="str">
        <f t="shared" si="2"/>
        <v>58</v>
      </c>
      <c r="C63" s="18">
        <v>6061.0</v>
      </c>
      <c r="D63" s="18" t="s">
        <v>549</v>
      </c>
      <c r="E63" s="18" t="s">
        <v>550</v>
      </c>
      <c r="F63" s="18" t="s">
        <v>551</v>
      </c>
      <c r="G63" s="19" t="s">
        <v>255</v>
      </c>
      <c r="H63" s="18" t="s">
        <v>154</v>
      </c>
      <c r="I63" s="18" t="str">
        <f t="shared" si="4"/>
        <v>Agente 61</v>
      </c>
      <c r="J63" s="19"/>
      <c r="K63" s="19"/>
      <c r="L63" t="str">
        <f t="shared" ref="L63:M63" si="5">SUMIF(L6:L60,"1",L6:L60)</f>
        <v>14</v>
      </c>
      <c r="M63" t="str">
        <f t="shared" si="5"/>
        <v>14</v>
      </c>
      <c r="S63">
        <v>54.0</v>
      </c>
      <c r="T63" t="s">
        <v>235</v>
      </c>
      <c r="W63" s="79">
        <v>54.0</v>
      </c>
      <c r="X63" s="80" t="s">
        <v>235</v>
      </c>
    </row>
    <row r="64" ht="15.75" customHeight="1">
      <c r="B64" s="18" t="str">
        <f t="shared" si="2"/>
        <v>59</v>
      </c>
      <c r="C64" s="18">
        <v>6062.0</v>
      </c>
      <c r="D64" s="18" t="s">
        <v>552</v>
      </c>
      <c r="E64" s="18" t="s">
        <v>553</v>
      </c>
      <c r="F64" s="18" t="s">
        <v>554</v>
      </c>
      <c r="G64" s="19" t="s">
        <v>41</v>
      </c>
      <c r="H64" s="18" t="s">
        <v>41</v>
      </c>
      <c r="I64" s="18" t="str">
        <f t="shared" si="4"/>
        <v>Agente 62</v>
      </c>
      <c r="J64" s="19"/>
      <c r="K64" s="19"/>
      <c r="S64">
        <v>55.0</v>
      </c>
      <c r="T64" t="s">
        <v>237</v>
      </c>
      <c r="W64" s="79">
        <v>55.0</v>
      </c>
      <c r="X64" s="80" t="s">
        <v>237</v>
      </c>
    </row>
    <row r="65" ht="15.75" customHeight="1">
      <c r="B65" s="18" t="str">
        <f t="shared" si="2"/>
        <v>60</v>
      </c>
      <c r="C65" s="18">
        <v>6063.0</v>
      </c>
      <c r="D65" s="18" t="s">
        <v>555</v>
      </c>
      <c r="E65" s="18" t="s">
        <v>556</v>
      </c>
      <c r="F65" s="18" t="s">
        <v>557</v>
      </c>
      <c r="G65" s="19" t="s">
        <v>41</v>
      </c>
      <c r="H65" s="18" t="s">
        <v>41</v>
      </c>
      <c r="I65" s="18" t="str">
        <f t="shared" si="4"/>
        <v>Agente 63</v>
      </c>
      <c r="J65" s="19"/>
      <c r="K65" s="19"/>
      <c r="S65">
        <v>56.0</v>
      </c>
      <c r="T65" t="s">
        <v>236</v>
      </c>
      <c r="W65" s="79">
        <v>56.0</v>
      </c>
      <c r="X65" s="80" t="s">
        <v>236</v>
      </c>
    </row>
    <row r="66" ht="15.75" customHeight="1">
      <c r="B66" s="18" t="str">
        <f t="shared" si="2"/>
        <v>61</v>
      </c>
      <c r="C66" s="18">
        <v>6064.0</v>
      </c>
      <c r="D66" s="18" t="s">
        <v>558</v>
      </c>
      <c r="E66" s="18" t="s">
        <v>559</v>
      </c>
      <c r="F66" s="18" t="s">
        <v>560</v>
      </c>
      <c r="G66" s="19" t="s">
        <v>41</v>
      </c>
      <c r="H66" s="18" t="s">
        <v>41</v>
      </c>
      <c r="I66" s="18" t="str">
        <f t="shared" si="4"/>
        <v>Agente 64</v>
      </c>
      <c r="J66" s="19"/>
      <c r="K66" s="19"/>
      <c r="S66">
        <v>57.0</v>
      </c>
      <c r="T66" t="s">
        <v>249</v>
      </c>
      <c r="W66" s="79">
        <v>57.0</v>
      </c>
      <c r="X66" s="80" t="s">
        <v>249</v>
      </c>
    </row>
    <row r="67" ht="15.75" customHeight="1">
      <c r="B67" s="18" t="str">
        <f t="shared" si="2"/>
        <v>62</v>
      </c>
      <c r="C67" s="18">
        <v>6065.0</v>
      </c>
      <c r="D67" s="18" t="s">
        <v>561</v>
      </c>
      <c r="E67" s="18" t="s">
        <v>562</v>
      </c>
      <c r="F67" s="18" t="s">
        <v>563</v>
      </c>
      <c r="G67" s="19" t="s">
        <v>284</v>
      </c>
      <c r="H67" s="18" t="s">
        <v>154</v>
      </c>
      <c r="I67" s="18" t="str">
        <f t="shared" si="4"/>
        <v>Agente 65</v>
      </c>
      <c r="J67" s="19"/>
      <c r="K67" s="19"/>
      <c r="S67">
        <v>58.0</v>
      </c>
      <c r="T67" t="s">
        <v>240</v>
      </c>
      <c r="W67" s="79">
        <v>58.0</v>
      </c>
      <c r="X67" s="80" t="s">
        <v>240</v>
      </c>
    </row>
    <row r="68" ht="15.75" customHeight="1">
      <c r="B68" s="18" t="str">
        <f t="shared" si="2"/>
        <v>63</v>
      </c>
      <c r="C68" s="18">
        <v>6066.0</v>
      </c>
      <c r="D68" s="18" t="s">
        <v>564</v>
      </c>
      <c r="E68" s="18" t="s">
        <v>565</v>
      </c>
      <c r="F68" s="18" t="s">
        <v>566</v>
      </c>
      <c r="G68" s="19" t="s">
        <v>290</v>
      </c>
      <c r="H68" s="18" t="s">
        <v>154</v>
      </c>
      <c r="I68" s="18" t="str">
        <f t="shared" si="4"/>
        <v>Agente 66</v>
      </c>
      <c r="J68" s="19"/>
      <c r="K68" s="19"/>
      <c r="W68" s="79">
        <v>41.0</v>
      </c>
      <c r="X68" s="81" t="s">
        <v>478</v>
      </c>
    </row>
    <row r="69" ht="15.75" customHeight="1">
      <c r="B69" s="18" t="str">
        <f t="shared" si="2"/>
        <v>64</v>
      </c>
      <c r="C69" s="18">
        <v>6067.0</v>
      </c>
      <c r="D69" s="18" t="s">
        <v>567</v>
      </c>
      <c r="E69" s="18" t="s">
        <v>568</v>
      </c>
      <c r="F69" s="18" t="s">
        <v>569</v>
      </c>
      <c r="G69" s="19" t="s">
        <v>570</v>
      </c>
      <c r="H69" s="18" t="s">
        <v>154</v>
      </c>
      <c r="I69" s="18" t="str">
        <f t="shared" si="4"/>
        <v>Agente 67</v>
      </c>
      <c r="J69" s="19"/>
      <c r="K69" s="19"/>
      <c r="W69" s="79">
        <v>42.0</v>
      </c>
      <c r="X69" s="81" t="s">
        <v>483</v>
      </c>
    </row>
    <row r="70" ht="15.75" customHeight="1">
      <c r="B70" s="18" t="str">
        <f t="shared" si="2"/>
        <v>65</v>
      </c>
      <c r="C70" s="18">
        <v>6068.0</v>
      </c>
      <c r="D70" s="18" t="s">
        <v>571</v>
      </c>
      <c r="E70" s="18" t="s">
        <v>572</v>
      </c>
      <c r="F70" s="18" t="s">
        <v>573</v>
      </c>
      <c r="G70" s="19" t="s">
        <v>287</v>
      </c>
      <c r="H70" s="18" t="s">
        <v>154</v>
      </c>
      <c r="I70" s="18" t="str">
        <f t="shared" si="4"/>
        <v>Agente 68</v>
      </c>
      <c r="J70" s="19"/>
      <c r="K70" s="19"/>
      <c r="W70" s="79">
        <v>43.0</v>
      </c>
      <c r="X70" s="81" t="s">
        <v>487</v>
      </c>
    </row>
    <row r="71" ht="15.75" customHeight="1">
      <c r="B71" s="18" t="str">
        <f t="shared" si="2"/>
        <v>66</v>
      </c>
      <c r="C71" s="18">
        <v>6069.0</v>
      </c>
      <c r="D71" s="18" t="s">
        <v>574</v>
      </c>
      <c r="E71" s="18" t="s">
        <v>575</v>
      </c>
      <c r="F71" s="18" t="s">
        <v>576</v>
      </c>
      <c r="G71" s="19" t="s">
        <v>272</v>
      </c>
      <c r="H71" s="18" t="s">
        <v>154</v>
      </c>
      <c r="I71" s="18" t="str">
        <f t="shared" si="4"/>
        <v>Agente 69</v>
      </c>
      <c r="J71" s="19"/>
      <c r="K71" s="19"/>
      <c r="W71" s="79">
        <v>44.0</v>
      </c>
      <c r="X71" s="80" t="s">
        <v>577</v>
      </c>
    </row>
    <row r="72" ht="15.75" customHeight="1">
      <c r="B72" s="18" t="str">
        <f t="shared" si="2"/>
        <v>67</v>
      </c>
      <c r="C72" s="18">
        <v>6070.0</v>
      </c>
      <c r="D72" s="18" t="s">
        <v>578</v>
      </c>
      <c r="E72" s="18" t="s">
        <v>579</v>
      </c>
      <c r="F72" s="18" t="s">
        <v>580</v>
      </c>
      <c r="G72" s="19" t="s">
        <v>293</v>
      </c>
      <c r="H72" s="18" t="s">
        <v>154</v>
      </c>
      <c r="I72" s="18" t="str">
        <f t="shared" si="4"/>
        <v>Agente 70</v>
      </c>
      <c r="J72" s="19"/>
      <c r="K72" s="19"/>
      <c r="W72" s="79">
        <v>45.0</v>
      </c>
      <c r="X72" s="80" t="s">
        <v>513</v>
      </c>
    </row>
    <row r="73" ht="15.75" customHeight="1">
      <c r="B73" s="18" t="str">
        <f t="shared" si="2"/>
        <v>68</v>
      </c>
      <c r="C73" s="18">
        <v>6071.0</v>
      </c>
      <c r="D73" s="18" t="s">
        <v>581</v>
      </c>
      <c r="E73" s="18" t="s">
        <v>582</v>
      </c>
      <c r="F73" s="18" t="s">
        <v>583</v>
      </c>
      <c r="G73" s="19" t="s">
        <v>294</v>
      </c>
      <c r="H73" s="18" t="s">
        <v>154</v>
      </c>
      <c r="I73" s="18" t="str">
        <f t="shared" si="4"/>
        <v>Agente 71</v>
      </c>
      <c r="J73" s="19"/>
      <c r="K73" s="19"/>
      <c r="W73" s="79">
        <v>46.0</v>
      </c>
      <c r="X73" s="80" t="s">
        <v>247</v>
      </c>
    </row>
    <row r="74" ht="15.75" customHeight="1">
      <c r="B74" s="18" t="str">
        <f t="shared" si="2"/>
        <v>69</v>
      </c>
      <c r="C74" s="18">
        <v>6072.0</v>
      </c>
      <c r="D74" s="18" t="s">
        <v>584</v>
      </c>
      <c r="E74" s="18" t="s">
        <v>585</v>
      </c>
      <c r="F74" s="18" t="s">
        <v>586</v>
      </c>
      <c r="G74" s="19" t="s">
        <v>278</v>
      </c>
      <c r="H74" s="18" t="s">
        <v>154</v>
      </c>
      <c r="I74" s="18" t="str">
        <f t="shared" si="4"/>
        <v>Agente 72</v>
      </c>
      <c r="J74" s="19"/>
      <c r="K74" s="19"/>
      <c r="W74" s="79">
        <v>47.0</v>
      </c>
      <c r="X74" s="80" t="s">
        <v>523</v>
      </c>
    </row>
    <row r="75" ht="15.75" customHeight="1">
      <c r="B75" s="18" t="str">
        <f t="shared" si="2"/>
        <v>70</v>
      </c>
      <c r="C75" s="18">
        <v>6073.0</v>
      </c>
      <c r="D75" s="18" t="s">
        <v>587</v>
      </c>
      <c r="E75" s="18" t="s">
        <v>588</v>
      </c>
      <c r="F75" s="18" t="s">
        <v>589</v>
      </c>
      <c r="G75" s="19" t="s">
        <v>41</v>
      </c>
      <c r="H75" s="18" t="s">
        <v>154</v>
      </c>
      <c r="I75" s="18" t="str">
        <f t="shared" si="4"/>
        <v>Agente 73</v>
      </c>
      <c r="J75" s="19"/>
      <c r="K75" s="19"/>
      <c r="W75" s="79">
        <v>48.0</v>
      </c>
      <c r="X75" s="80" t="s">
        <v>169</v>
      </c>
    </row>
    <row r="76" ht="15.75" customHeight="1">
      <c r="B76" s="18" t="str">
        <f t="shared" si="2"/>
        <v>71</v>
      </c>
      <c r="C76" s="18">
        <v>6074.0</v>
      </c>
      <c r="D76" s="18" t="s">
        <v>590</v>
      </c>
      <c r="E76" s="18" t="s">
        <v>591</v>
      </c>
      <c r="F76" s="18" t="s">
        <v>592</v>
      </c>
      <c r="G76" s="19" t="s">
        <v>275</v>
      </c>
      <c r="H76" s="18" t="s">
        <v>154</v>
      </c>
      <c r="I76" s="18" t="str">
        <f t="shared" si="4"/>
        <v>Agente 74</v>
      </c>
      <c r="J76" s="19"/>
      <c r="K76" s="19"/>
      <c r="W76" s="79">
        <v>49.0</v>
      </c>
      <c r="X76" s="80" t="s">
        <v>523</v>
      </c>
    </row>
    <row r="77" ht="15.75" customHeight="1">
      <c r="B77" s="18" t="str">
        <f t="shared" si="2"/>
        <v>72</v>
      </c>
      <c r="C77" s="18">
        <v>6075.0</v>
      </c>
      <c r="D77" s="18" t="s">
        <v>593</v>
      </c>
      <c r="E77" s="18" t="s">
        <v>594</v>
      </c>
      <c r="F77" s="18" t="s">
        <v>595</v>
      </c>
      <c r="G77" s="19" t="s">
        <v>41</v>
      </c>
      <c r="H77" s="18" t="s">
        <v>154</v>
      </c>
      <c r="I77" s="18" t="str">
        <f t="shared" si="4"/>
        <v>Agente 75</v>
      </c>
      <c r="J77" s="19"/>
      <c r="K77" s="19"/>
      <c r="W77" s="79">
        <v>50.0</v>
      </c>
      <c r="X77" s="80" t="s">
        <v>231</v>
      </c>
    </row>
    <row r="78" ht="15.75" customHeight="1">
      <c r="B78" s="18" t="str">
        <f t="shared" si="2"/>
        <v>73</v>
      </c>
      <c r="C78" s="18">
        <v>6076.0</v>
      </c>
      <c r="D78" s="18" t="s">
        <v>596</v>
      </c>
      <c r="E78" s="18" t="s">
        <v>597</v>
      </c>
      <c r="F78" s="18" t="s">
        <v>598</v>
      </c>
      <c r="G78" s="19" t="s">
        <v>265</v>
      </c>
      <c r="H78" s="18" t="s">
        <v>154</v>
      </c>
      <c r="I78" s="18" t="str">
        <f t="shared" si="4"/>
        <v>Agente 76</v>
      </c>
      <c r="J78" s="19"/>
      <c r="K78" s="19"/>
      <c r="W78" s="79">
        <v>51.0</v>
      </c>
      <c r="X78" s="80" t="s">
        <v>232</v>
      </c>
    </row>
    <row r="79" ht="15.75" customHeight="1">
      <c r="B79" s="18" t="str">
        <f t="shared" si="2"/>
        <v>74</v>
      </c>
      <c r="C79" s="18">
        <v>6077.0</v>
      </c>
      <c r="D79" s="18" t="s">
        <v>599</v>
      </c>
      <c r="E79" s="18" t="s">
        <v>600</v>
      </c>
      <c r="F79" s="18" t="s">
        <v>601</v>
      </c>
      <c r="G79" s="19" t="s">
        <v>262</v>
      </c>
      <c r="H79" s="18" t="s">
        <v>154</v>
      </c>
      <c r="I79" s="18" t="str">
        <f t="shared" si="4"/>
        <v>Agente 77</v>
      </c>
      <c r="J79" s="19"/>
      <c r="K79" s="19"/>
      <c r="W79" s="79">
        <v>52.0</v>
      </c>
      <c r="X79" s="80" t="s">
        <v>233</v>
      </c>
    </row>
    <row r="80" ht="15.75" customHeight="1">
      <c r="B80" s="18" t="str">
        <f t="shared" si="2"/>
        <v>75</v>
      </c>
      <c r="C80" s="18">
        <v>6078.0</v>
      </c>
      <c r="D80" s="18" t="s">
        <v>602</v>
      </c>
      <c r="E80" s="18" t="s">
        <v>603</v>
      </c>
      <c r="F80" s="18" t="s">
        <v>604</v>
      </c>
      <c r="G80" s="19" t="s">
        <v>263</v>
      </c>
      <c r="H80" s="18" t="s">
        <v>522</v>
      </c>
      <c r="I80" s="18" t="str">
        <f t="shared" si="4"/>
        <v>Agente 78</v>
      </c>
      <c r="J80" s="19"/>
      <c r="K80" s="19"/>
      <c r="W80" s="79">
        <v>53.0</v>
      </c>
      <c r="X80" s="80" t="s">
        <v>242</v>
      </c>
    </row>
    <row r="81" ht="15.75" customHeight="1">
      <c r="B81" s="18" t="str">
        <f t="shared" si="2"/>
        <v>76</v>
      </c>
      <c r="C81" s="18">
        <v>6079.0</v>
      </c>
      <c r="D81" s="18" t="s">
        <v>605</v>
      </c>
      <c r="E81" s="18" t="s">
        <v>606</v>
      </c>
      <c r="F81" s="18" t="s">
        <v>607</v>
      </c>
      <c r="G81" s="19" t="s">
        <v>264</v>
      </c>
      <c r="H81" s="18" t="s">
        <v>154</v>
      </c>
      <c r="I81" s="18" t="str">
        <f t="shared" si="4"/>
        <v>Agente 79</v>
      </c>
      <c r="J81" s="19"/>
      <c r="K81" s="19"/>
      <c r="W81" s="79">
        <v>54.0</v>
      </c>
      <c r="X81" s="80" t="s">
        <v>235</v>
      </c>
    </row>
    <row r="82" ht="15.75" customHeight="1">
      <c r="B82" s="18" t="str">
        <f t="shared" si="2"/>
        <v>77</v>
      </c>
      <c r="C82" s="18">
        <v>6080.0</v>
      </c>
      <c r="D82" s="18" t="s">
        <v>608</v>
      </c>
      <c r="E82" s="18" t="s">
        <v>609</v>
      </c>
      <c r="F82" s="18" t="s">
        <v>610</v>
      </c>
      <c r="G82" s="19" t="s">
        <v>41</v>
      </c>
      <c r="H82" s="18" t="s">
        <v>154</v>
      </c>
      <c r="I82" s="18" t="str">
        <f t="shared" si="4"/>
        <v>Agente 80</v>
      </c>
      <c r="J82" s="19"/>
      <c r="K82" s="19"/>
      <c r="W82" s="79">
        <v>55.0</v>
      </c>
      <c r="X82" s="80" t="s">
        <v>237</v>
      </c>
    </row>
    <row r="83" ht="15.75" customHeight="1">
      <c r="B83" s="18" t="str">
        <f t="shared" si="2"/>
        <v>78</v>
      </c>
      <c r="C83" s="18"/>
      <c r="D83" s="18" t="s">
        <v>611</v>
      </c>
      <c r="E83" s="18" t="s">
        <v>612</v>
      </c>
      <c r="F83" s="18" t="s">
        <v>613</v>
      </c>
      <c r="G83" s="19" t="s">
        <v>41</v>
      </c>
      <c r="H83" s="18" t="s">
        <v>154</v>
      </c>
      <c r="I83" s="18" t="str">
        <f t="shared" si="4"/>
        <v>Agente 81</v>
      </c>
      <c r="J83" s="19"/>
      <c r="K83" s="19"/>
      <c r="W83" s="79">
        <v>56.0</v>
      </c>
      <c r="X83" s="80" t="s">
        <v>236</v>
      </c>
    </row>
    <row r="84" ht="15.75" customHeight="1">
      <c r="B84" s="18" t="str">
        <f t="shared" si="2"/>
        <v>79</v>
      </c>
      <c r="C84" s="18"/>
      <c r="D84" s="18" t="s">
        <v>614</v>
      </c>
      <c r="E84" s="18" t="s">
        <v>615</v>
      </c>
      <c r="F84" s="18" t="s">
        <v>616</v>
      </c>
      <c r="G84" s="19" t="s">
        <v>41</v>
      </c>
      <c r="H84" s="18" t="s">
        <v>154</v>
      </c>
      <c r="I84" s="18" t="str">
        <f t="shared" si="4"/>
        <v>Agente 82</v>
      </c>
      <c r="J84" s="19"/>
      <c r="K84" s="19"/>
      <c r="W84" s="79">
        <v>57.0</v>
      </c>
      <c r="X84" s="80" t="s">
        <v>249</v>
      </c>
    </row>
    <row r="85" ht="15.75" customHeight="1">
      <c r="W85" s="79">
        <v>58.0</v>
      </c>
      <c r="X85" s="80" t="s">
        <v>240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>
      <c r="W108" s="82"/>
    </row>
    <row r="109" ht="15.75" customHeight="1"/>
    <row r="110" ht="15.75" customHeight="1"/>
    <row r="111" ht="15.75" customHeight="1">
      <c r="W111" s="82"/>
    </row>
    <row r="112" ht="15.75" customHeight="1"/>
    <row r="113" ht="15.75" customHeight="1"/>
    <row r="114" ht="15.75" customHeight="1">
      <c r="W114" s="82"/>
    </row>
    <row r="115" ht="15.75" customHeight="1"/>
    <row r="116" ht="15.75" customHeight="1"/>
    <row r="117" ht="15.75" customHeight="1">
      <c r="W117" s="82"/>
    </row>
    <row r="118" ht="15.75" customHeight="1"/>
    <row r="119" ht="15.75" customHeight="1"/>
    <row r="120" ht="15.75" customHeight="1">
      <c r="W120" s="82"/>
    </row>
    <row r="121" ht="15.75" customHeight="1"/>
    <row r="122" ht="15.75" customHeight="1"/>
    <row r="123" ht="15.75" customHeight="1">
      <c r="W123" s="82"/>
    </row>
    <row r="124" ht="15.75" customHeight="1"/>
    <row r="125" ht="15.75" customHeight="1"/>
    <row r="126" ht="15.75" customHeight="1">
      <c r="W126" s="79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>
      <c r="W149" s="82"/>
    </row>
    <row r="150" ht="15.75" customHeight="1">
      <c r="W150" s="79"/>
    </row>
    <row r="151" ht="15.75" customHeight="1">
      <c r="W151" s="79"/>
    </row>
    <row r="152" ht="15.75" customHeight="1">
      <c r="W152" s="79"/>
    </row>
    <row r="153" ht="15.75" customHeight="1">
      <c r="W153" s="79"/>
    </row>
    <row r="154" ht="15.75" customHeight="1">
      <c r="W154" s="79"/>
    </row>
    <row r="155" ht="15.75" customHeight="1">
      <c r="W155" s="79"/>
    </row>
    <row r="156" ht="15.75" customHeight="1">
      <c r="W156" s="79"/>
    </row>
    <row r="157" ht="15.75" customHeight="1">
      <c r="W157" s="79"/>
    </row>
    <row r="158" ht="15.75" customHeight="1">
      <c r="W158" s="79"/>
    </row>
    <row r="159" ht="15.75" customHeight="1">
      <c r="W159" s="79"/>
    </row>
    <row r="160" ht="15.75" customHeight="1">
      <c r="W160" s="79"/>
    </row>
    <row r="161" ht="15.75" customHeight="1">
      <c r="W161" s="79"/>
    </row>
    <row r="162" ht="15.75" customHeight="1">
      <c r="W162" s="79"/>
    </row>
    <row r="163" ht="15.75" customHeight="1">
      <c r="W163" s="79"/>
    </row>
    <row r="164" ht="15.75" customHeight="1">
      <c r="W164" s="79"/>
    </row>
    <row r="165" ht="15.75" customHeight="1">
      <c r="W165" s="79"/>
    </row>
    <row r="166" ht="15.75" customHeight="1">
      <c r="W166" s="79"/>
    </row>
    <row r="167" ht="15.75" customHeight="1">
      <c r="W167" s="79"/>
    </row>
  </sheetData>
  <mergeCells count="9">
    <mergeCell ref="J3:J5"/>
    <mergeCell ref="I3:I5"/>
    <mergeCell ref="B3:B5"/>
    <mergeCell ref="H3:H5"/>
    <mergeCell ref="G3:G5"/>
    <mergeCell ref="K3:K5"/>
    <mergeCell ref="F3:F5"/>
    <mergeCell ref="D3:D5"/>
    <mergeCell ref="E3:E5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5.5"/>
    <col customWidth="1" min="2" max="2" width="9.33"/>
    <col customWidth="1" min="3" max="20" width="11.17"/>
    <col customWidth="1" min="21" max="21" width="8.5"/>
    <col customWidth="1" min="22" max="27" width="12.5"/>
  </cols>
  <sheetData>
    <row r="2" ht="15.0" customHeight="1">
      <c r="A2" s="83"/>
      <c r="B2" s="84" t="s">
        <v>617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6"/>
      <c r="X2" s="83"/>
      <c r="Y2" s="83"/>
      <c r="Z2" s="83"/>
      <c r="AA2" s="83"/>
    </row>
    <row r="3" ht="15.0" customHeight="1">
      <c r="A3" s="83"/>
      <c r="B3" s="87"/>
      <c r="W3" s="88"/>
      <c r="X3" s="83"/>
      <c r="Y3" s="83"/>
      <c r="Z3" s="83"/>
      <c r="AA3" s="83"/>
    </row>
    <row r="4" ht="7.5" customHeight="1">
      <c r="A4" s="89"/>
      <c r="B4" s="87"/>
      <c r="W4" s="88"/>
      <c r="X4" s="89"/>
      <c r="Y4" s="89"/>
      <c r="Z4" s="89"/>
      <c r="AA4" s="89"/>
    </row>
    <row r="5">
      <c r="A5" s="89"/>
      <c r="B5" s="90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2"/>
      <c r="X5" s="89"/>
      <c r="Y5" s="89"/>
      <c r="Z5" s="89"/>
      <c r="AA5" s="89"/>
    </row>
    <row r="7">
      <c r="B7" s="93" t="s">
        <v>618</v>
      </c>
      <c r="C7" s="94" t="s">
        <v>619</v>
      </c>
      <c r="D7" s="95"/>
      <c r="E7" s="95"/>
      <c r="F7" s="95"/>
      <c r="G7" s="95"/>
      <c r="H7" s="95"/>
      <c r="I7" s="95"/>
      <c r="J7" s="95"/>
      <c r="K7" s="96"/>
      <c r="L7" s="94" t="s">
        <v>6</v>
      </c>
      <c r="M7" s="95"/>
      <c r="N7" s="95"/>
      <c r="O7" s="95"/>
      <c r="P7" s="95"/>
      <c r="Q7" s="95"/>
      <c r="R7" s="95"/>
      <c r="S7" s="95"/>
      <c r="T7" s="97"/>
    </row>
    <row r="8" ht="17.25" customHeight="1">
      <c r="B8" s="98"/>
      <c r="C8" s="99" t="s">
        <v>8</v>
      </c>
      <c r="D8" s="100"/>
      <c r="E8" s="99" t="s">
        <v>9</v>
      </c>
      <c r="F8" s="100"/>
      <c r="G8" s="99" t="s">
        <v>10</v>
      </c>
      <c r="H8" s="100"/>
      <c r="I8" s="99" t="s">
        <v>11</v>
      </c>
      <c r="J8" s="100"/>
      <c r="K8" s="101" t="s">
        <v>620</v>
      </c>
      <c r="L8" s="99" t="s">
        <v>8</v>
      </c>
      <c r="M8" s="100"/>
      <c r="N8" s="99" t="s">
        <v>9</v>
      </c>
      <c r="O8" s="100"/>
      <c r="P8" s="99" t="s">
        <v>10</v>
      </c>
      <c r="Q8" s="100"/>
      <c r="R8" s="99" t="s">
        <v>11</v>
      </c>
      <c r="S8" s="100"/>
      <c r="T8" s="102" t="s">
        <v>621</v>
      </c>
    </row>
    <row r="9" ht="33.0" customHeight="1">
      <c r="B9" s="103"/>
      <c r="C9" s="104" t="s">
        <v>622</v>
      </c>
      <c r="D9" s="104" t="s">
        <v>623</v>
      </c>
      <c r="E9" s="104" t="s">
        <v>622</v>
      </c>
      <c r="F9" s="104" t="s">
        <v>623</v>
      </c>
      <c r="G9" s="104" t="s">
        <v>622</v>
      </c>
      <c r="H9" s="104" t="s">
        <v>623</v>
      </c>
      <c r="I9" s="104" t="s">
        <v>622</v>
      </c>
      <c r="J9" s="104" t="s">
        <v>623</v>
      </c>
      <c r="K9" s="105"/>
      <c r="L9" s="104" t="s">
        <v>622</v>
      </c>
      <c r="M9" s="104" t="s">
        <v>623</v>
      </c>
      <c r="N9" s="104" t="s">
        <v>622</v>
      </c>
      <c r="O9" s="104" t="s">
        <v>623</v>
      </c>
      <c r="P9" s="104" t="s">
        <v>622</v>
      </c>
      <c r="Q9" s="104" t="s">
        <v>623</v>
      </c>
      <c r="R9" s="104" t="s">
        <v>622</v>
      </c>
      <c r="S9" s="104" t="s">
        <v>623</v>
      </c>
      <c r="T9" s="106"/>
    </row>
    <row r="10">
      <c r="B10" s="107">
        <v>1.0</v>
      </c>
      <c r="C10" s="108" t="str">
        <f>IF($B$10=1,VLOOKUP($F$16,'Semana 1'!$E$6:$Z$100,4,FALSE))</f>
        <v>8:00</v>
      </c>
      <c r="D10" s="108" t="str">
        <f>IF($B$10=1,VLOOKUP($F$16,'Semana 1'!$E$6:$Z$100,5,FALSE))</f>
        <v>17:00</v>
      </c>
      <c r="E10" s="108" t="str">
        <f>IF($B$10=1,VLOOKUP($F$16,'Semana 1'!$E$6:$Z$100,6,FALSE))</f>
        <v>12:00</v>
      </c>
      <c r="F10" s="108" t="str">
        <f>IF($B$10=1,VLOOKUP($F$16,'Semana 1'!$E$6:$Z$100,7,FALSE))</f>
        <v>13:00</v>
      </c>
      <c r="G10" s="108" t="str">
        <f>IF($B$10=1,VLOOKUP($F$16,'Semana 1'!$E$6:$Z$100,8,FALSE))</f>
        <v>9:15</v>
      </c>
      <c r="H10" s="108" t="str">
        <f>IF($B$10=1,VLOOKUP($F$16,'Semana 1'!$E$6:$Z$100,9,FALSE))</f>
        <v>9:35</v>
      </c>
      <c r="I10" s="108" t="str">
        <f>IF($B$10=1,VLOOKUP($F$16,'Semana 1'!$E$6:$Z$100,10,FALSE))</f>
        <v>17:15</v>
      </c>
      <c r="J10" s="108" t="str">
        <f>IF($B$10=1,VLOOKUP($F$16,'Semana 1'!$E$6:$Z$100,11,FALSE))</f>
        <v>17:25</v>
      </c>
      <c r="K10" s="109" t="str">
        <f>IF($B$10=1,VLOOKUP($F$16,'Semana 1'!$E$6:$Z$100,12,FALSE))</f>
        <v>8.0</v>
      </c>
      <c r="L10" s="108" t="str">
        <f>IF($B$10=1,VLOOKUP($F$16,'Semana 1'!$E$6:$Z$100,13,FALSE))</f>
        <v>10:00</v>
      </c>
      <c r="M10" s="108" t="str">
        <f>IF($B$10=1,VLOOKUP($F$16,'Semana 1'!$E$6:$Z$100,14,FALSE))</f>
        <v>15:00</v>
      </c>
      <c r="N10" s="108" t="str">
        <f>IF($B$10=1,VLOOKUP($F$16,'Semana 1'!$E$6:$Z$100,15,FALSE))</f>
        <v/>
      </c>
      <c r="O10" s="108" t="str">
        <f>IF($B$10=1,VLOOKUP($F$16,'Semana 1'!$E$6:$Z$100,16,FALSE))</f>
        <v/>
      </c>
      <c r="P10" s="108" t="str">
        <f>IF($B$10=1,VLOOKUP($F$16,'Semana 1'!$E$6:$Z$100,17,FALSE))</f>
        <v>12:00</v>
      </c>
      <c r="Q10" s="108" t="str">
        <f>IF($B$10=1,VLOOKUP($F$16,'Semana 1'!$E$6:$Z$100,18,FALSE))</f>
        <v>12:30</v>
      </c>
      <c r="R10" s="108" t="str">
        <f>IF($B$10=1,VLOOKUP($F$16,'Semana 1'!$E$6:$Z$100,19,FALSE))</f>
        <v/>
      </c>
      <c r="S10" s="108" t="str">
        <f>IF($B$10=1,VLOOKUP($F$16,'Semana 1'!$E$6:$Z$100,20,FALSE))</f>
        <v/>
      </c>
      <c r="T10" s="110" t="str">
        <f>IF($B$10=1,VLOOKUP($F$16,'Semana 1'!$E$6:$Z$100,21,FALSE))</f>
        <v>5.0</v>
      </c>
    </row>
    <row r="11">
      <c r="B11" s="111">
        <v>2.0</v>
      </c>
      <c r="C11" s="112" t="str">
        <f>IF($B$11=2,VLOOKUP($F$16,'Semana 2'!$E$6:$Z$100,4,FALSE))</f>
        <v>8:00</v>
      </c>
      <c r="D11" s="112" t="str">
        <f>IF($B$11=2,VLOOKUP($F$16,'Semana 2'!$E$6:$Z$100,5,FALSE))</f>
        <v>17:00</v>
      </c>
      <c r="E11" s="112" t="str">
        <f>IF($B$11=2,VLOOKUP($F$16,'Semana 2'!$E$6:$Z$100,6,FALSE))</f>
        <v>12:00</v>
      </c>
      <c r="F11" s="112" t="str">
        <f>IF($B$11=2,VLOOKUP($F$16,'Semana 2'!$E$6:$Z$100,7,FALSE))</f>
        <v>13:00</v>
      </c>
      <c r="G11" s="112" t="str">
        <f>IF($B$11=2,VLOOKUP($F$16,'Semana 2'!$E$6:$Z$100,8,FALSE))</f>
        <v>9:15</v>
      </c>
      <c r="H11" s="112" t="str">
        <f>IF($B$11=2,VLOOKUP($F$16,'Semana 2'!$E$6:$Z$100,9,FALSE))</f>
        <v>9:35</v>
      </c>
      <c r="I11" s="112" t="str">
        <f>IF($B$11=2,VLOOKUP($F$16,'Semana 2'!$E$6:$Z$100,10,FALSE))</f>
        <v>17:15</v>
      </c>
      <c r="J11" s="112" t="str">
        <f>IF($B$11=2,VLOOKUP($F$16,'Semana 2'!$E$6:$Z$100,11,FALSE))</f>
        <v>17:25</v>
      </c>
      <c r="K11" s="113" t="str">
        <f>IF($B$11=2,VLOOKUP($F$16,'Semana 2'!$E$6:$Z$100,12,FALSE))</f>
        <v>8.0</v>
      </c>
      <c r="L11" s="112" t="str">
        <f>IF($B$11=2,VLOOKUP($F$16,'Semana 2'!$E$6:$Z$100,13,FALSE))</f>
        <v>10:00</v>
      </c>
      <c r="M11" s="112" t="str">
        <f>IF($B$11=2,VLOOKUP($F$16,'Semana 2'!$E$6:$Z$100,14,FALSE))</f>
        <v>15:00</v>
      </c>
      <c r="N11" s="112" t="str">
        <f>IF($B$11=2,VLOOKUP($F$16,'Semana 2'!$E$6:$Z$100,15,FALSE))</f>
        <v/>
      </c>
      <c r="O11" s="112" t="str">
        <f>IF($B$11=2,VLOOKUP($F$16,'Semana 2'!$E$6:$Z$100,16,FALSE))</f>
        <v/>
      </c>
      <c r="P11" s="112" t="str">
        <f>IF($B$11=2,VLOOKUP($F$16,'Semana 2'!$E$6:$Z$100,17,FALSE))</f>
        <v>12:00</v>
      </c>
      <c r="Q11" s="112" t="str">
        <f>IF($B$11=2,VLOOKUP($F$16,'Semana 2'!$E$6:$Z$100,18,FALSE))</f>
        <v>12:30</v>
      </c>
      <c r="R11" s="112" t="str">
        <f>IF($B$11=2,VLOOKUP($F$16,'Semana 2'!$E$6:$Z$100,19,FALSE))</f>
        <v/>
      </c>
      <c r="S11" s="112" t="str">
        <f>IF($B$11=2,VLOOKUP($F$16,'Semana 2'!$E$6:$Z$100,20,FALSE))</f>
        <v/>
      </c>
      <c r="T11" s="114" t="str">
        <f>IF($B$11=2,VLOOKUP($F$16,'Semana 2'!$E$6:$Z$100,21,FALSE))</f>
        <v>5.0</v>
      </c>
    </row>
    <row r="12">
      <c r="B12" s="115">
        <v>3.0</v>
      </c>
      <c r="C12" s="116" t="str">
        <f>IF($B$12=3,VLOOKUP($F$16,'Semana 3'!$E$6:$Z$100,4,FALSE))</f>
        <v>8:00</v>
      </c>
      <c r="D12" s="116" t="str">
        <f>IF($B$12=3,VLOOKUP($F$16,'Semana 3'!$E$6:$Z$100,5,FALSE))</f>
        <v>17:00</v>
      </c>
      <c r="E12" s="116" t="str">
        <f>IF($B$12=3,VLOOKUP($F$16,'Semana 3'!$E$6:$Z$100,6,FALSE))</f>
        <v>12:00</v>
      </c>
      <c r="F12" s="116" t="str">
        <f>IF($B$12=3,VLOOKUP($F$16,'Semana 3'!$E$6:$Z$100,7,FALSE))</f>
        <v>13:00</v>
      </c>
      <c r="G12" s="116" t="str">
        <f>IF($B$12=3,VLOOKUP($F$16,'Semana 3'!$E$6:$Z$100,8,FALSE))</f>
        <v>9:15</v>
      </c>
      <c r="H12" s="116" t="str">
        <f>IF($B$12=3,VLOOKUP($F$16,'Semana 3'!$E$6:$Z$100,9,FALSE))</f>
        <v>9:35</v>
      </c>
      <c r="I12" s="116" t="str">
        <f>IF($B$12=3,VLOOKUP($F$16,'Semana 3'!$E$6:$Z$100,10,FALSE))</f>
        <v>17:15</v>
      </c>
      <c r="J12" s="116" t="str">
        <f>IF($B$12=3,VLOOKUP($F$16,'Semana 3'!$E$6:$Z$100,11,FALSE))</f>
        <v>17:25</v>
      </c>
      <c r="K12" s="117" t="str">
        <f>IF($B$12=3,VLOOKUP($F$16,'Semana 3'!$E$6:$Z$100,12,FALSE))</f>
        <v>8.0</v>
      </c>
      <c r="L12" s="116" t="str">
        <f>IF($B$12=3,VLOOKUP($F$16,'Semana 3'!$E$6:$Z$100,13,FALSE))</f>
        <v>10:00</v>
      </c>
      <c r="M12" s="116" t="str">
        <f>IF($B$12=3,VLOOKUP($F$16,'Semana 3'!$E$6:$Z$100,14,FALSE))</f>
        <v>15:00</v>
      </c>
      <c r="N12" s="116" t="str">
        <f>IF($B$12=3,VLOOKUP($F$16,'Semana 3'!$E$6:$Z$100,15,FALSE))</f>
        <v/>
      </c>
      <c r="O12" s="116" t="str">
        <f>IF($B$12=3,VLOOKUP($F$16,'Semana 3'!$E$6:$Z$100,16,FALSE))</f>
        <v/>
      </c>
      <c r="P12" s="116" t="str">
        <f>IF($B$12=3,VLOOKUP($F$16,'Semana 3'!$E$6:$Z$100,17,FALSE))</f>
        <v>12:00</v>
      </c>
      <c r="Q12" s="116" t="str">
        <f>IF($B$12=3,VLOOKUP($F$16,'Semana 3'!$E$6:$Z$100,18,FALSE))</f>
        <v>12:30</v>
      </c>
      <c r="R12" s="116" t="str">
        <f>IF($B$12=3,VLOOKUP($F$16,'Semana 3'!$E$6:$Z$100,19,FALSE))</f>
        <v/>
      </c>
      <c r="S12" s="116" t="str">
        <f>IF($B$12=3,VLOOKUP($F$16,'Semana 3'!$E$6:$Z$100,20,FALSE))</f>
        <v/>
      </c>
      <c r="T12" s="118" t="str">
        <f>IF($B$12=3,VLOOKUP($F$16,'Semana 3'!$E$6:$Z$100,21,FALSE))</f>
        <v>5.0</v>
      </c>
    </row>
    <row r="13">
      <c r="B13" s="119">
        <v>4.0</v>
      </c>
      <c r="C13" s="120" t="str">
        <f>IF($B$13=4,VLOOKUP($F$16,'Semana 4'!$E$6:$Z$100,4,FALSE))</f>
        <v>8:00</v>
      </c>
      <c r="D13" s="120" t="str">
        <f>IF($B$13=4,VLOOKUP($F$16,'Semana 4'!$E$6:$Z$100,5,FALSE))</f>
        <v>17:00</v>
      </c>
      <c r="E13" s="120" t="str">
        <f>IF($B$13=4,VLOOKUP($F$16,'Semana 4'!$E$6:$Z$100,6,FALSE))</f>
        <v>12:00</v>
      </c>
      <c r="F13" s="120" t="str">
        <f>IF($B$13=4,VLOOKUP($F$16,'Semana 4'!$E$6:$Z$100,7,FALSE))</f>
        <v>13:00</v>
      </c>
      <c r="G13" s="120" t="str">
        <f>IF($B$13=4,VLOOKUP($F$16,'Semana 4'!$E$6:$Z$100,8,FALSE))</f>
        <v>9:15</v>
      </c>
      <c r="H13" s="120" t="str">
        <f>IF($B$13=4,VLOOKUP($F$16,'Semana 4'!$E$6:$Z$100,9,FALSE))</f>
        <v>9:35</v>
      </c>
      <c r="I13" s="120" t="str">
        <f>IF($B$13=4,VLOOKUP($F$16,'Semana 4'!$E$6:$Z$100,10,FALSE))</f>
        <v>17:15</v>
      </c>
      <c r="J13" s="120" t="str">
        <f>IF($B$13=4,VLOOKUP($F$16,'Semana 4'!$E$6:$Z$100,11,FALSE))</f>
        <v>17:25</v>
      </c>
      <c r="K13" s="121" t="str">
        <f>IF($B$13=4,VLOOKUP($F$16,'Semana 4'!$E$6:$Z$100,12,FALSE))</f>
        <v>8.0</v>
      </c>
      <c r="L13" s="120" t="str">
        <f>IF($B$13=4,VLOOKUP($F$16,'Semana 4'!$E$6:$Z$100,13,FALSE))</f>
        <v>10:00</v>
      </c>
      <c r="M13" s="120" t="str">
        <f>IF($B$13=4,VLOOKUP($F$16,'Semana 4'!$E$6:$Z$100,14,FALSE))</f>
        <v>15:00</v>
      </c>
      <c r="N13" s="120" t="str">
        <f>IF($B$13=4,VLOOKUP($F$16,'Semana 4'!$E$6:$Z$100,15,FALSE))</f>
        <v/>
      </c>
      <c r="O13" s="120" t="str">
        <f>IF($B$13=4,VLOOKUP($F$16,'Semana 4'!$E$6:$Z$100,16,FALSE))</f>
        <v/>
      </c>
      <c r="P13" s="120" t="str">
        <f>IF($B$13=4,VLOOKUP($F$16,'Semana 4'!$E$6:$Z$100,17,FALSE))</f>
        <v>12:00</v>
      </c>
      <c r="Q13" s="120" t="str">
        <f>IF($B$13=4,VLOOKUP($F$16,'Semana 4'!$E$6:$Z$100,18,FALSE))</f>
        <v>12:30</v>
      </c>
      <c r="R13" s="120" t="str">
        <f>IF($B$13=4,VLOOKUP($F$16,'Semana 4'!$E$6:$Z$100,19,FALSE))</f>
        <v/>
      </c>
      <c r="S13" s="120" t="str">
        <f>IF($B$13=4,VLOOKUP($F$16,'Semana 4'!$E$6:$Z$100,20,FALSE))</f>
        <v/>
      </c>
      <c r="T13" s="122" t="str">
        <f>IF($B$13=4,VLOOKUP($F$16,'Semana 4'!$E$6:$Z$100,21,FALSE))</f>
        <v>5.0</v>
      </c>
    </row>
    <row r="15" ht="18.0" customHeight="1">
      <c r="B15" s="123" t="s">
        <v>618</v>
      </c>
      <c r="C15" s="124" t="s">
        <v>150</v>
      </c>
      <c r="D15" s="95"/>
      <c r="E15" s="97"/>
      <c r="F15" s="125" t="s">
        <v>300</v>
      </c>
      <c r="G15" s="95"/>
      <c r="H15" s="95"/>
      <c r="I15" s="96"/>
      <c r="J15" s="126"/>
      <c r="K15" s="95"/>
      <c r="L15" s="127"/>
      <c r="M15" s="128" t="s">
        <v>624</v>
      </c>
      <c r="N15" s="129"/>
      <c r="O15" s="129"/>
      <c r="P15" s="129"/>
      <c r="Q15" s="129"/>
      <c r="R15" s="129"/>
      <c r="S15" s="129"/>
      <c r="T15" s="130"/>
    </row>
    <row r="16">
      <c r="B16" s="131" t="s">
        <v>625</v>
      </c>
      <c r="C16" s="132" t="str">
        <f>IF($B$10=1,VLOOKUP($F$16,'Semana 1'!$E$6:$AD$100,26,FALSE))</f>
        <v>45</v>
      </c>
      <c r="D16" s="133"/>
      <c r="E16" s="134"/>
      <c r="F16" s="135" t="s">
        <v>260</v>
      </c>
      <c r="G16" s="136"/>
      <c r="H16" s="136"/>
      <c r="I16" s="137"/>
      <c r="J16" s="138" t="str">
        <f>VLOOKUP('Horario Mes'!F16,Personal!G6:K100,3,FALSE)</f>
        <v>Agente 59</v>
      </c>
      <c r="K16" s="136"/>
      <c r="L16" s="139"/>
      <c r="M16" s="140" t="s">
        <v>626</v>
      </c>
      <c r="N16" s="141" t="s">
        <v>5</v>
      </c>
      <c r="O16" s="142" t="s">
        <v>627</v>
      </c>
      <c r="P16" s="142" t="s">
        <v>628</v>
      </c>
      <c r="Q16" s="142" t="s">
        <v>629</v>
      </c>
      <c r="R16" s="142" t="s">
        <v>630</v>
      </c>
      <c r="S16" s="142" t="s">
        <v>631</v>
      </c>
      <c r="T16" s="143" t="s">
        <v>632</v>
      </c>
    </row>
    <row r="17">
      <c r="B17" s="144" t="s">
        <v>633</v>
      </c>
      <c r="C17" s="145" t="str">
        <f>IF($B$11=2,VLOOKUP($F$16,'Semana 2'!$E$6:$AD$100,26,FALSE))</f>
        <v>45</v>
      </c>
      <c r="D17" s="133"/>
      <c r="E17" s="134"/>
      <c r="M17" s="146" t="s">
        <v>625</v>
      </c>
      <c r="N17" s="147">
        <v>28.0</v>
      </c>
      <c r="O17" s="147" t="str">
        <f t="shared" ref="O17:Q17" si="1">N17+1</f>
        <v>29</v>
      </c>
      <c r="P17" s="147" t="str">
        <f t="shared" si="1"/>
        <v>30</v>
      </c>
      <c r="Q17" s="147" t="str">
        <f t="shared" si="1"/>
        <v>31</v>
      </c>
      <c r="R17" s="148">
        <v>1.0</v>
      </c>
      <c r="S17" s="149" t="str">
        <f t="shared" ref="S17:T17" si="2">R17+1</f>
        <v>2</v>
      </c>
      <c r="T17" s="150" t="str">
        <f t="shared" si="2"/>
        <v>3</v>
      </c>
    </row>
    <row r="18">
      <c r="B18" s="151" t="s">
        <v>634</v>
      </c>
      <c r="C18" s="152" t="str">
        <f>IF($B$12=3,VLOOKUP($F$16,'Semana 3'!$E$6:$AD$100,26,FALSE))</f>
        <v>45</v>
      </c>
      <c r="D18" s="133"/>
      <c r="E18" s="134"/>
      <c r="M18" s="111" t="s">
        <v>633</v>
      </c>
      <c r="N18" s="153" t="str">
        <f t="shared" ref="N18:N21" si="4">T17+1</f>
        <v>4</v>
      </c>
      <c r="O18" s="154" t="str">
        <f t="shared" ref="O18:T18" si="3">N18+1</f>
        <v>5</v>
      </c>
      <c r="P18" s="154" t="str">
        <f t="shared" si="3"/>
        <v>6</v>
      </c>
      <c r="Q18" s="154" t="str">
        <f t="shared" si="3"/>
        <v>7</v>
      </c>
      <c r="R18" s="154" t="str">
        <f t="shared" si="3"/>
        <v>8</v>
      </c>
      <c r="S18" s="155" t="str">
        <f t="shared" si="3"/>
        <v>9</v>
      </c>
      <c r="T18" s="150" t="str">
        <f t="shared" si="3"/>
        <v>10</v>
      </c>
    </row>
    <row r="19">
      <c r="B19" s="156" t="s">
        <v>635</v>
      </c>
      <c r="C19" s="157" t="str">
        <f>IF($B$13=4,VLOOKUP($F$16,'Semana 4'!$E$6:$AD$100,26,FALSE))</f>
        <v>45</v>
      </c>
      <c r="D19" s="136"/>
      <c r="E19" s="158"/>
      <c r="M19" s="115" t="s">
        <v>634</v>
      </c>
      <c r="N19" s="159" t="str">
        <f t="shared" si="4"/>
        <v>11</v>
      </c>
      <c r="O19" s="160" t="str">
        <f t="shared" ref="O19:T19" si="5">N19+1</f>
        <v>12</v>
      </c>
      <c r="P19" s="160" t="str">
        <f t="shared" si="5"/>
        <v>13</v>
      </c>
      <c r="Q19" s="160" t="str">
        <f t="shared" si="5"/>
        <v>14</v>
      </c>
      <c r="R19" s="160" t="str">
        <f t="shared" si="5"/>
        <v>15</v>
      </c>
      <c r="S19" s="161" t="str">
        <f t="shared" si="5"/>
        <v>16</v>
      </c>
      <c r="T19" s="150" t="str">
        <f t="shared" si="5"/>
        <v>17</v>
      </c>
    </row>
    <row r="20">
      <c r="M20" s="162" t="s">
        <v>635</v>
      </c>
      <c r="N20" s="163" t="str">
        <f t="shared" si="4"/>
        <v>18</v>
      </c>
      <c r="O20" s="164" t="str">
        <f t="shared" ref="O20:T20" si="6">N20+1</f>
        <v>19</v>
      </c>
      <c r="P20" s="164" t="str">
        <f t="shared" si="6"/>
        <v>20</v>
      </c>
      <c r="Q20" s="164" t="str">
        <f t="shared" si="6"/>
        <v>21</v>
      </c>
      <c r="R20" s="164" t="str">
        <f t="shared" si="6"/>
        <v>22</v>
      </c>
      <c r="S20" s="165" t="str">
        <f t="shared" si="6"/>
        <v>23</v>
      </c>
      <c r="T20" s="150" t="str">
        <f t="shared" si="6"/>
        <v>24</v>
      </c>
    </row>
    <row r="21" ht="15.75" customHeight="1">
      <c r="M21" s="166" t="s">
        <v>625</v>
      </c>
      <c r="N21" s="167" t="str">
        <f t="shared" si="4"/>
        <v>25</v>
      </c>
      <c r="O21" s="168" t="str">
        <f t="shared" ref="O21:S21" si="7">N21+1</f>
        <v>26</v>
      </c>
      <c r="P21" s="168" t="str">
        <f t="shared" si="7"/>
        <v>27</v>
      </c>
      <c r="Q21" s="168" t="str">
        <f t="shared" si="7"/>
        <v>28</v>
      </c>
      <c r="R21" s="168" t="str">
        <f t="shared" si="7"/>
        <v>29</v>
      </c>
      <c r="S21" s="168" t="str">
        <f t="shared" si="7"/>
        <v>30</v>
      </c>
      <c r="T21" s="169">
        <v>1.0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4">
    <mergeCell ref="C7:K7"/>
    <mergeCell ref="L7:T7"/>
    <mergeCell ref="B7:B9"/>
    <mergeCell ref="C15:E15"/>
    <mergeCell ref="C16:E16"/>
    <mergeCell ref="B2:W5"/>
    <mergeCell ref="M15:T15"/>
    <mergeCell ref="K8:K9"/>
    <mergeCell ref="T8:T9"/>
    <mergeCell ref="C8:D8"/>
    <mergeCell ref="E8:F8"/>
    <mergeCell ref="G8:H8"/>
    <mergeCell ref="I8:J8"/>
    <mergeCell ref="L8:M8"/>
    <mergeCell ref="N8:O8"/>
    <mergeCell ref="C17:E17"/>
    <mergeCell ref="C18:E18"/>
    <mergeCell ref="C19:E19"/>
    <mergeCell ref="P8:Q8"/>
    <mergeCell ref="R8:S8"/>
    <mergeCell ref="F16:I16"/>
    <mergeCell ref="F15:I15"/>
    <mergeCell ref="J15:L15"/>
    <mergeCell ref="J16:L16"/>
  </mergeCells>
  <dataValidations>
    <dataValidation type="list" allowBlank="1" showErrorMessage="1" sqref="F16">
      <formula1>'Semana 1'!$E$6:$E$81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3.17"/>
    <col customWidth="1" min="2" max="2" width="37.0"/>
    <col customWidth="1" min="3" max="3" width="9.17"/>
    <col customWidth="1" min="4" max="4" width="3.17"/>
    <col customWidth="1" min="5" max="5" width="34.5"/>
    <col customWidth="1" min="6" max="6" width="9.17"/>
    <col customWidth="1" min="7" max="7" width="3.17"/>
    <col customWidth="1" min="8" max="8" width="37.17"/>
    <col customWidth="1" min="9" max="9" width="9.17"/>
    <col customWidth="1" min="10" max="10" width="3.17"/>
    <col customWidth="1" min="11" max="11" width="41.0"/>
    <col customWidth="1" min="12" max="12" width="9.17"/>
    <col customWidth="1" min="13" max="13" width="3.17"/>
    <col customWidth="1" min="14" max="14" width="37.67"/>
    <col customWidth="1" min="15" max="15" width="23.83"/>
    <col customWidth="1" min="16" max="16" width="3.17"/>
    <col customWidth="1" min="17" max="17" width="35.17"/>
    <col customWidth="1" min="18" max="18" width="9.17"/>
    <col customWidth="1" min="19" max="51" width="12.5"/>
  </cols>
  <sheetData>
    <row r="2" ht="11.25" customHeight="1">
      <c r="A2" s="84" t="s">
        <v>617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6"/>
      <c r="T2" s="170"/>
      <c r="U2" s="170"/>
      <c r="V2" s="170"/>
      <c r="W2" s="83"/>
      <c r="X2" s="83"/>
      <c r="Y2" s="83"/>
      <c r="Z2" t="s">
        <v>13</v>
      </c>
    </row>
    <row r="3" ht="11.25" customHeight="1">
      <c r="A3" s="87"/>
      <c r="S3" s="88"/>
      <c r="T3" s="170"/>
      <c r="U3" s="170"/>
      <c r="V3" s="170"/>
      <c r="W3" s="83"/>
      <c r="X3" s="83"/>
      <c r="Y3" s="83"/>
      <c r="Z3" t="s">
        <v>103</v>
      </c>
    </row>
    <row r="4" ht="11.25" customHeight="1">
      <c r="A4" s="87"/>
      <c r="S4" s="88"/>
      <c r="T4" s="170"/>
      <c r="U4" s="170"/>
      <c r="V4" s="170"/>
      <c r="W4" s="89"/>
      <c r="X4" s="89"/>
      <c r="Y4" s="89"/>
      <c r="Z4" t="s">
        <v>127</v>
      </c>
    </row>
    <row r="5" ht="11.25" customHeight="1">
      <c r="A5" s="90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2"/>
      <c r="T5" s="170"/>
      <c r="U5" s="170"/>
      <c r="V5" s="170"/>
      <c r="W5" s="89"/>
      <c r="X5" s="89"/>
      <c r="Y5" s="89"/>
      <c r="Z5" t="s">
        <v>151</v>
      </c>
    </row>
    <row r="6" ht="18.0" customHeight="1">
      <c r="Y6" s="171" t="s">
        <v>636</v>
      </c>
      <c r="Z6" s="171" t="s">
        <v>637</v>
      </c>
      <c r="AA6" s="171" t="s">
        <v>638</v>
      </c>
      <c r="AB6" s="171" t="s">
        <v>14</v>
      </c>
      <c r="AC6" s="172" t="s">
        <v>639</v>
      </c>
      <c r="AD6" s="172" t="s">
        <v>640</v>
      </c>
      <c r="AE6" s="172" t="s">
        <v>641</v>
      </c>
      <c r="AF6" s="172" t="s">
        <v>642</v>
      </c>
      <c r="AG6" s="172" t="s">
        <v>643</v>
      </c>
      <c r="AH6" s="172" t="s">
        <v>644</v>
      </c>
      <c r="AI6" s="172" t="s">
        <v>645</v>
      </c>
      <c r="AJ6" s="172" t="s">
        <v>646</v>
      </c>
      <c r="AK6" s="172" t="s">
        <v>136</v>
      </c>
      <c r="AL6" s="172" t="s">
        <v>137</v>
      </c>
      <c r="AM6" s="172" t="s">
        <v>138</v>
      </c>
      <c r="AN6" s="172" t="s">
        <v>139</v>
      </c>
      <c r="AO6" s="172" t="s">
        <v>140</v>
      </c>
      <c r="AP6" s="172" t="s">
        <v>141</v>
      </c>
      <c r="AQ6" s="172" t="s">
        <v>142</v>
      </c>
      <c r="AR6" s="172" t="s">
        <v>143</v>
      </c>
      <c r="AS6" s="172" t="s">
        <v>144</v>
      </c>
      <c r="AT6" s="172" t="s">
        <v>145</v>
      </c>
      <c r="AU6" s="173" t="s">
        <v>146</v>
      </c>
      <c r="AV6" s="173" t="s">
        <v>147</v>
      </c>
      <c r="AW6" s="173" t="s">
        <v>148</v>
      </c>
      <c r="AX6" s="173" t="s">
        <v>149</v>
      </c>
      <c r="AY6" s="7" t="s">
        <v>150</v>
      </c>
    </row>
    <row r="7">
      <c r="A7" s="174" t="s">
        <v>647</v>
      </c>
      <c r="B7" s="175"/>
      <c r="C7" s="176"/>
      <c r="D7" s="177"/>
      <c r="E7" s="178" t="s">
        <v>103</v>
      </c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8">
        <v>1.0</v>
      </c>
      <c r="Z7" s="19" t="str">
        <f>IF($E$7="Semana 1",'Semana 1'!E6,IF($E$7="Semana 2",'Semana 2'!E6,IF($E$7="Semana 3",'Semana 3'!E6,IF($E$7="Semana 4",'Semana 4'!E6,FALSE))))</f>
        <v>Nancy Beatriz Pedroza</v>
      </c>
      <c r="AA7" s="19" t="str">
        <f>IF($E$7="Semana 1",'Semana 1'!F6,IF($E$7="Semana 2",'Semana 2'!F6,IF($E$7="Semana 3",'Semana 3'!F6,IF($E$7="Semana 4",'Semana 4'!F6,FALSE))))</f>
        <v>Semana 1</v>
      </c>
      <c r="AB7" s="77" t="str">
        <f>IF($E$7="Semana 1",'Semana 1'!G6,IF($E$7="Semana 2",'Semana 2'!G6,IF($E$7="Semana 3",'Semana 3'!G6,IF($E$7="Semana 4",'Semana 4'!G6,FALSE))))</f>
        <v>AGENTE</v>
      </c>
      <c r="AC7" s="54" t="str">
        <f>IF($E$7="Semana 1",'Semana 1'!H6,IF($E$7="Semana 2",'Semana 2'!H6,IF($E$7="Semana 3",'Semana 3'!H6,IF($E$7="Semana 4",'Semana 4'!H6,FALSE))))</f>
        <v>17:00</v>
      </c>
      <c r="AD7" s="54" t="str">
        <f>IF($E$7="Semana 1",'Semana 1'!I6,IF($E$7="Semana 2",'Semana 2'!I6,IF($E$7="Semana 3",'Semana 3'!I6,IF($E$7="Semana 4",'Semana 4'!I6,FALSE))))</f>
        <v>0:00</v>
      </c>
      <c r="AE7" s="54" t="str">
        <f>IF($E$7="Semana 1",'Semana 1'!J6,IF($E$7="Semana 2",'Semana 2'!J6,IF($E$7="Semana 3",'Semana 3'!J6,IF($E$7="Semana 4",'Semana 4'!J6,FALSE))))</f>
        <v>19:00</v>
      </c>
      <c r="AF7" s="54" t="str">
        <f>IF($E$7="Semana 1",'Semana 1'!K6,IF($E$7="Semana 2",'Semana 2'!K6,IF($E$7="Semana 3",'Semana 3'!K6,IF($E$7="Semana 4",'Semana 4'!K6,FALSE))))</f>
        <v>19:30</v>
      </c>
      <c r="AG7" s="54" t="str">
        <f>IF($E$7="Semana 1",'Semana 1'!L6,IF($E$7="Semana 2",'Semana 2'!L6,IF($E$7="Semana 3",'Semana 3'!L6,IF($E$7="Semana 4",'Semana 4'!L6,FALSE))))</f>
        <v>19:30</v>
      </c>
      <c r="AH7" s="54" t="str">
        <f>IF($E$7="Semana 1",'Semana 1'!M6,IF($E$7="Semana 2",'Semana 2'!M6,IF($E$7="Semana 3",'Semana 3'!M6,IF($E$7="Semana 4",'Semana 4'!M6,FALSE))))</f>
        <v>19:50</v>
      </c>
      <c r="AI7" s="54" t="str">
        <f>IF($E$7="Semana 1",'Semana 1'!N6,IF($E$7="Semana 2",'Semana 2'!N6,IF($E$7="Semana 3",'Semana 3'!N6,IF($E$7="Semana 4",'Semana 4'!N6,FALSE))))</f>
        <v>19:50</v>
      </c>
      <c r="AJ7" s="54" t="str">
        <f>IF($E$7="Semana 1",'Semana 1'!O6,IF($E$7="Semana 2",'Semana 2'!O6,IF($E$7="Semana 3",'Semana 3'!O6,IF($E$7="Semana 4",'Semana 4'!O6,FALSE))))</f>
        <v>20:00</v>
      </c>
      <c r="AK7" s="55" t="str">
        <f>IF($E$7="Semana 1",'Semana 1'!P6,IF($E$7="Semana 2",'Semana 2'!P6,IF($E$7="Semana 3",'Semana 3'!P6,IF($E$7="Semana 4",'Semana 4'!P6,FALSE))))</f>
        <v>6.0</v>
      </c>
      <c r="AL7" s="54" t="str">
        <f>IF($E$7="Semana 1",'Semana 1'!Q6,IF($E$7="Semana 2",'Semana 2'!Q6,IF($E$7="Semana 3",'Semana 3'!Q6,IF($E$7="Semana 4",'Semana 4'!Q6,FALSE))))</f>
        <v>17:00</v>
      </c>
      <c r="AM7" s="54" t="str">
        <f>IF($E$7="Semana 1",'Semana 1'!R6,IF($E$7="Semana 2",'Semana 2'!R6,IF($E$7="Semana 3",'Semana 3'!R6,IF($E$7="Semana 4",'Semana 4'!R6,FALSE))))</f>
        <v>0:00</v>
      </c>
      <c r="AN7" s="54" t="str">
        <f>IF($E$7="Semana 1",'Semana 1'!S6,IF($E$7="Semana 2",'Semana 2'!S6,IF($E$7="Semana 3",'Semana 3'!S6,IF($E$7="Semana 4",'Semana 4'!S6,FALSE))))</f>
        <v>19:00</v>
      </c>
      <c r="AO7" s="54" t="str">
        <f>IF($E$7="Semana 1",'Semana 1'!T6,IF($E$7="Semana 2",'Semana 2'!T6,IF($E$7="Semana 3",'Semana 3'!T6,IF($E$7="Semana 4",'Semana 4'!T6,FALSE))))</f>
        <v>19:30</v>
      </c>
      <c r="AP7" s="54" t="str">
        <f>IF($E$7="Semana 1",'Semana 1'!U6,IF($E$7="Semana 2",'Semana 2'!U6,IF($E$7="Semana 3",'Semana 3'!U6,IF($E$7="Semana 4",'Semana 4'!U6,FALSE))))</f>
        <v>19:30</v>
      </c>
      <c r="AQ7" s="54" t="str">
        <f>IF($E$7="Semana 1",'Semana 1'!V6,IF($E$7="Semana 2",'Semana 2'!V6,IF($E$7="Semana 3",'Semana 3'!V6,IF($E$7="Semana 4",'Semana 4'!V6,FALSE))))</f>
        <v>19:50</v>
      </c>
      <c r="AR7" s="54" t="str">
        <f>IF($E$7="Semana 1",'Semana 1'!W6,IF($E$7="Semana 2",'Semana 2'!W6,IF($E$7="Semana 3",'Semana 3'!W6,IF($E$7="Semana 4",'Semana 4'!W6,FALSE))))</f>
        <v>19:50</v>
      </c>
      <c r="AS7" s="54" t="str">
        <f>IF($E$7="Semana 1",'Semana 1'!X6,IF($E$7="Semana 2",'Semana 2'!X6,IF($E$7="Semana 3",'Semana 3'!X6,IF($E$7="Semana 4",'Semana 4'!X6,FALSE))))</f>
        <v>20:00</v>
      </c>
      <c r="AT7" s="55" t="str">
        <f>IF($E$7="Semana 1",'Semana 1'!Y6,IF($E$7="Semana 2",'Semana 2'!Y6,IF($E$7="Semana 3",'Semana 3'!Y6,IF($E$7="Semana 4",'Semana 4'!Y6,FALSE))))</f>
        <v>6.0</v>
      </c>
      <c r="AU7" s="55" t="str">
        <f>IF($E$7="Semana 1",'Semana 1'!Z6,IF($E$7="Semana 2",'Semana 2'!Z6,IF($E$7="Semana 3",'Semana 3'!Z6,IF($E$7="Semana 4",'Semana 4'!Z6,FALSE))))</f>
        <v>6.0</v>
      </c>
      <c r="AV7" s="55" t="str">
        <f>IF($E$7="Semana 1",'Semana 1'!AA6,IF($E$7="Semana 2",'Semana 2'!AA6,IF($E$7="Semana 3",'Semana 3'!AA6,IF($E$7="Semana 4",'Semana 4'!AA6,FALSE))))</f>
        <v>6.0</v>
      </c>
      <c r="AW7" s="55" t="str">
        <f>IF($E$7="Semana 1",'Semana 1'!AB6,IF($E$7="Semana 2",'Semana 2'!AB6,IF($E$7="Semana 3",'Semana 3'!AB6,IF($E$7="Semana 4",'Semana 4'!AB6,FALSE))))</f>
        <v>6.0</v>
      </c>
      <c r="AX7" s="55" t="str">
        <f>IF($E$7="Semana 1",'Semana 1'!AC6,IF($E$7="Semana 2",'Semana 2'!AC6,IF($E$7="Semana 3",'Semana 3'!AC6,IF($E$7="Semana 4",'Semana 4'!AC6,FALSE))))</f>
        <v>6.0</v>
      </c>
      <c r="AY7" s="55" t="str">
        <f>IF($E$7="Semana 1",'Semana 1'!AD6,IF($E$7="Semana 2",'Semana 2'!AD6,IF($E$7="Semana 3",'Semana 3'!AD6,IF($E$7="Semana 4",'Semana 4'!AD6,FALSE))))</f>
        <v>36.0</v>
      </c>
    </row>
    <row r="8">
      <c r="Y8" s="179" t="str">
        <f t="shared" ref="Y8:Y66" si="1">Y7+1</f>
        <v>2</v>
      </c>
      <c r="Z8" s="180" t="str">
        <f>IF($E$7="Semana 1",'Semana 1'!E7,IF($E$7="Semana 2",'Semana 2'!E7,IF($E$7="Semana 3",'Semana 3'!E7,IF($E$7="Semana 4",'Semana 4'!E7,FALSE))))</f>
        <v>Carina Alejandra Peliz Reban</v>
      </c>
      <c r="AA8" s="180" t="str">
        <f>IF($E$7="Semana 1",'Semana 1'!F7,IF($E$7="Semana 2",'Semana 2'!F7,IF($E$7="Semana 3",'Semana 3'!F7,IF($E$7="Semana 4",'Semana 4'!F7,FALSE))))</f>
        <v>Semana 1</v>
      </c>
      <c r="AB8" s="180" t="str">
        <f>IF($E$7="Semana 1",'Semana 1'!G7,IF($E$7="Semana 2",'Semana 2'!G7,IF($E$7="Semana 3",'Semana 3'!G7,IF($E$7="Semana 4",'Semana 4'!G7,FALSE))))</f>
        <v>REDES</v>
      </c>
      <c r="AC8" s="51" t="str">
        <f>IF($E$7="Semana 1",'Semana 1'!H7,IF($E$7="Semana 2",'Semana 2'!H7,IF($E$7="Semana 3",'Semana 3'!H7,IF($E$7="Semana 4",'Semana 4'!H7,FALSE))))</f>
        <v>9:00</v>
      </c>
      <c r="AD8" s="51" t="str">
        <f>IF($E$7="Semana 1",'Semana 1'!I7,IF($E$7="Semana 2",'Semana 2'!I7,IF($E$7="Semana 3",'Semana 3'!I7,IF($E$7="Semana 4",'Semana 4'!I7,FALSE))))</f>
        <v>18:00</v>
      </c>
      <c r="AE8" s="51" t="str">
        <f>IF($E$7="Semana 1",'Semana 1'!J7,IF($E$7="Semana 2",'Semana 2'!J7,IF($E$7="Semana 3",'Semana 3'!J7,IF($E$7="Semana 4",'Semana 4'!J7,FALSE))))</f>
        <v>12:00</v>
      </c>
      <c r="AF8" s="51" t="str">
        <f>IF($E$7="Semana 1",'Semana 1'!K7,IF($E$7="Semana 2",'Semana 2'!K7,IF($E$7="Semana 3",'Semana 3'!K7,IF($E$7="Semana 4",'Semana 4'!K7,FALSE))))</f>
        <v>13:00</v>
      </c>
      <c r="AG8" s="51" t="str">
        <f>IF($E$7="Semana 1",'Semana 1'!L7,IF($E$7="Semana 2",'Semana 2'!L7,IF($E$7="Semana 3",'Semana 3'!L7,IF($E$7="Semana 4",'Semana 4'!L7,FALSE))))</f>
        <v>10:00</v>
      </c>
      <c r="AH8" s="51" t="str">
        <f>IF($E$7="Semana 1",'Semana 1'!M7,IF($E$7="Semana 2",'Semana 2'!M7,IF($E$7="Semana 3",'Semana 3'!M7,IF($E$7="Semana 4",'Semana 4'!M7,FALSE))))</f>
        <v>10:20</v>
      </c>
      <c r="AI8" s="51" t="str">
        <f>IF($E$7="Semana 1",'Semana 1'!N7,IF($E$7="Semana 2",'Semana 2'!N7,IF($E$7="Semana 3",'Semana 3'!N7,IF($E$7="Semana 4",'Semana 4'!N7,FALSE))))</f>
        <v>15:30</v>
      </c>
      <c r="AJ8" s="51" t="str">
        <f>IF($E$7="Semana 1",'Semana 1'!O7,IF($E$7="Semana 2",'Semana 2'!O7,IF($E$7="Semana 3",'Semana 3'!O7,IF($E$7="Semana 4",'Semana 4'!O7,FALSE))))</f>
        <v>15:40</v>
      </c>
      <c r="AK8" s="52" t="str">
        <f>IF($E$7="Semana 1",'Semana 1'!P7,IF($E$7="Semana 2",'Semana 2'!P7,IF($E$7="Semana 3",'Semana 3'!P7,IF($E$7="Semana 4",'Semana 4'!P7,FALSE))))</f>
        <v>8.0</v>
      </c>
      <c r="AL8" s="51" t="str">
        <f>IF($E$7="Semana 1",'Semana 1'!Q7,IF($E$7="Semana 2",'Semana 2'!Q7,IF($E$7="Semana 3",'Semana 3'!Q7,IF($E$7="Semana 4",'Semana 4'!Q7,FALSE))))</f>
        <v>10:00</v>
      </c>
      <c r="AM8" s="51" t="str">
        <f>IF($E$7="Semana 1",'Semana 1'!R7,IF($E$7="Semana 2",'Semana 2'!R7,IF($E$7="Semana 3",'Semana 3'!R7,IF($E$7="Semana 4",'Semana 4'!R7,FALSE))))</f>
        <v>15:00</v>
      </c>
      <c r="AN8" s="53" t="str">
        <f>IF($E$7="Semana 1",'Semana 1'!S7,IF($E$7="Semana 2",'Semana 2'!S7,IF($E$7="Semana 3",'Semana 3'!S7,IF($E$7="Semana 4",'Semana 4'!S7,FALSE))))</f>
        <v/>
      </c>
      <c r="AO8" s="53" t="str">
        <f>IF($E$7="Semana 1",'Semana 1'!T7,IF($E$7="Semana 2",'Semana 2'!T7,IF($E$7="Semana 3",'Semana 3'!T7,IF($E$7="Semana 4",'Semana 4'!T7,FALSE))))</f>
        <v/>
      </c>
      <c r="AP8" s="51" t="str">
        <f>IF($E$7="Semana 1",'Semana 1'!U7,IF($E$7="Semana 2",'Semana 2'!U7,IF($E$7="Semana 3",'Semana 3'!U7,IF($E$7="Semana 4",'Semana 4'!U7,FALSE))))</f>
        <v>10:30</v>
      </c>
      <c r="AQ8" s="51" t="str">
        <f>IF($E$7="Semana 1",'Semana 1'!V7,IF($E$7="Semana 2",'Semana 2'!V7,IF($E$7="Semana 3",'Semana 3'!V7,IF($E$7="Semana 4",'Semana 4'!V7,FALSE))))</f>
        <v>11:00</v>
      </c>
      <c r="AR8" s="53" t="str">
        <f>IF($E$7="Semana 1",'Semana 1'!W7,IF($E$7="Semana 2",'Semana 2'!W7,IF($E$7="Semana 3",'Semana 3'!W7,IF($E$7="Semana 4",'Semana 4'!W7,FALSE))))</f>
        <v/>
      </c>
      <c r="AS8" s="53" t="str">
        <f>IF($E$7="Semana 1",'Semana 1'!X7,IF($E$7="Semana 2",'Semana 2'!X7,IF($E$7="Semana 3",'Semana 3'!X7,IF($E$7="Semana 4",'Semana 4'!X7,FALSE))))</f>
        <v/>
      </c>
      <c r="AT8" s="52" t="str">
        <f>IF($E$7="Semana 1",'Semana 1'!Y7,IF($E$7="Semana 2",'Semana 2'!Y7,IF($E$7="Semana 3",'Semana 3'!Y7,IF($E$7="Semana 4",'Semana 4'!Y7,FALSE))))</f>
        <v>5.0</v>
      </c>
      <c r="AU8" s="52" t="str">
        <f>IF($E$7="Semana 1",'Semana 1'!Z7,IF($E$7="Semana 2",'Semana 2'!Z7,IF($E$7="Semana 3",'Semana 3'!Z7,IF($E$7="Semana 4",'Semana 4'!Z7,FALSE))))</f>
        <v>8.0</v>
      </c>
      <c r="AV8" s="52" t="str">
        <f>IF($E$7="Semana 1",'Semana 1'!AA7,IF($E$7="Semana 2",'Semana 2'!AA7,IF($E$7="Semana 3",'Semana 3'!AA7,IF($E$7="Semana 4",'Semana 4'!AA7,FALSE))))</f>
        <v>8.0</v>
      </c>
      <c r="AW8" s="52" t="str">
        <f>IF($E$7="Semana 1",'Semana 1'!AB7,IF($E$7="Semana 2",'Semana 2'!AB7,IF($E$7="Semana 3",'Semana 3'!AB7,IF($E$7="Semana 4",'Semana 4'!AB7,FALSE))))</f>
        <v>8.0</v>
      </c>
      <c r="AX8" s="52" t="str">
        <f>IF($E$7="Semana 1",'Semana 1'!AC7,IF($E$7="Semana 2",'Semana 2'!AC7,IF($E$7="Semana 3",'Semana 3'!AC7,IF($E$7="Semana 4",'Semana 4'!AC7,FALSE))))</f>
        <v>8.0</v>
      </c>
      <c r="AY8" s="52" t="str">
        <f>IF($E$7="Semana 1",'Semana 1'!AD7,IF($E$7="Semana 2",'Semana 2'!AD7,IF($E$7="Semana 3",'Semana 3'!AD7,IF($E$7="Semana 4",'Semana 4'!AD7,FALSE))))</f>
        <v>45.1</v>
      </c>
    </row>
    <row r="9">
      <c r="Y9" s="18" t="str">
        <f t="shared" si="1"/>
        <v>3</v>
      </c>
      <c r="Z9" s="19" t="str">
        <f>IF($E$7="Semana 1",'Semana 1'!E8,IF($E$7="Semana 2",'Semana 2'!E8,IF($E$7="Semana 3",'Semana 3'!E8,IF($E$7="Semana 4",'Semana 4'!E8,FALSE))))</f>
        <v>-</v>
      </c>
      <c r="AA9" s="19" t="str">
        <f>IF($E$7="Semana 1",'Semana 1'!F8,IF($E$7="Semana 2",'Semana 2'!F8,IF($E$7="Semana 3",'Semana 3'!F8,IF($E$7="Semana 4",'Semana 4'!F8,FALSE))))</f>
        <v>Semana 1</v>
      </c>
      <c r="AB9" s="19" t="str">
        <f>IF($E$7="Semana 1",'Semana 1'!G8,IF($E$7="Semana 2",'Semana 2'!G8,IF($E$7="Semana 3",'Semana 3'!G8,IF($E$7="Semana 4",'Semana 4'!G8,FALSE))))</f>
        <v>-</v>
      </c>
      <c r="AC9" s="54" t="str">
        <f>IF($E$7="Semana 1",'Semana 1'!H8,IF($E$7="Semana 2",'Semana 2'!H8,IF($E$7="Semana 3",'Semana 3'!H8,IF($E$7="Semana 4",'Semana 4'!H8,FALSE))))</f>
        <v/>
      </c>
      <c r="AD9" s="54" t="str">
        <f>IF($E$7="Semana 1",'Semana 1'!I8,IF($E$7="Semana 2",'Semana 2'!I8,IF($E$7="Semana 3",'Semana 3'!I8,IF($E$7="Semana 4",'Semana 4'!I8,FALSE))))</f>
        <v> </v>
      </c>
      <c r="AE9" s="54" t="str">
        <f>IF($E$7="Semana 1",'Semana 1'!J8,IF($E$7="Semana 2",'Semana 2'!J8,IF($E$7="Semana 3",'Semana 3'!J8,IF($E$7="Semana 4",'Semana 4'!J8,FALSE))))</f>
        <v/>
      </c>
      <c r="AF9" s="54" t="str">
        <f>IF($E$7="Semana 1",'Semana 1'!K8,IF($E$7="Semana 2",'Semana 2'!K8,IF($E$7="Semana 3",'Semana 3'!K8,IF($E$7="Semana 4",'Semana 4'!K8,FALSE))))</f>
        <v> - </v>
      </c>
      <c r="AG9" s="54" t="str">
        <f>IF($E$7="Semana 1",'Semana 1'!L8,IF($E$7="Semana 2",'Semana 2'!L8,IF($E$7="Semana 3",'Semana 3'!L8,IF($E$7="Semana 4",'Semana 4'!L8,FALSE))))</f>
        <v/>
      </c>
      <c r="AH9" s="54" t="str">
        <f>IF($E$7="Semana 1",'Semana 1'!M8,IF($E$7="Semana 2",'Semana 2'!M8,IF($E$7="Semana 3",'Semana 3'!M8,IF($E$7="Semana 4",'Semana 4'!M8,FALSE))))</f>
        <v> - </v>
      </c>
      <c r="AI9" s="54" t="str">
        <f>IF($E$7="Semana 1",'Semana 1'!N8,IF($E$7="Semana 2",'Semana 2'!N8,IF($E$7="Semana 3",'Semana 3'!N8,IF($E$7="Semana 4",'Semana 4'!N8,FALSE))))</f>
        <v/>
      </c>
      <c r="AJ9" s="54" t="str">
        <f>IF($E$7="Semana 1",'Semana 1'!O8,IF($E$7="Semana 2",'Semana 2'!O8,IF($E$7="Semana 3",'Semana 3'!O8,IF($E$7="Semana 4",'Semana 4'!O8,FALSE))))</f>
        <v> - </v>
      </c>
      <c r="AK9" s="55" t="str">
        <f>IF($E$7="Semana 1",'Semana 1'!P8,IF($E$7="Semana 2",'Semana 2'!P8,IF($E$7="Semana 3",'Semana 3'!P8,IF($E$7="Semana 4",'Semana 4'!P8,FALSE))))</f>
        <v>-1.0</v>
      </c>
      <c r="AL9" s="54" t="str">
        <f>IF($E$7="Semana 1",'Semana 1'!Q8,IF($E$7="Semana 2",'Semana 2'!Q8,IF($E$7="Semana 3",'Semana 3'!Q8,IF($E$7="Semana 4",'Semana 4'!Q8,FALSE))))</f>
        <v/>
      </c>
      <c r="AM9" s="54" t="str">
        <f>IF($E$7="Semana 1",'Semana 1'!R8,IF($E$7="Semana 2",'Semana 2'!R8,IF($E$7="Semana 3",'Semana 3'!R8,IF($E$7="Semana 4",'Semana 4'!R8,FALSE))))</f>
        <v/>
      </c>
      <c r="AN9" s="54" t="str">
        <f>IF($E$7="Semana 1",'Semana 1'!S8,IF($E$7="Semana 2",'Semana 2'!S8,IF($E$7="Semana 3",'Semana 3'!S8,IF($E$7="Semana 4",'Semana 4'!S8,FALSE))))</f>
        <v/>
      </c>
      <c r="AO9" s="54" t="str">
        <f>IF($E$7="Semana 1",'Semana 1'!T8,IF($E$7="Semana 2",'Semana 2'!T8,IF($E$7="Semana 3",'Semana 3'!T8,IF($E$7="Semana 4",'Semana 4'!T8,FALSE))))</f>
        <v/>
      </c>
      <c r="AP9" s="54" t="str">
        <f>IF($E$7="Semana 1",'Semana 1'!U8,IF($E$7="Semana 2",'Semana 2'!U8,IF($E$7="Semana 3",'Semana 3'!U8,IF($E$7="Semana 4",'Semana 4'!U8,FALSE))))</f>
        <v/>
      </c>
      <c r="AQ9" s="54" t="str">
        <f>IF($E$7="Semana 1",'Semana 1'!V8,IF($E$7="Semana 2",'Semana 2'!V8,IF($E$7="Semana 3",'Semana 3'!V8,IF($E$7="Semana 4",'Semana 4'!V8,FALSE))))</f>
        <v/>
      </c>
      <c r="AR9" s="54" t="str">
        <f>IF($E$7="Semana 1",'Semana 1'!W8,IF($E$7="Semana 2",'Semana 2'!W8,IF($E$7="Semana 3",'Semana 3'!W8,IF($E$7="Semana 4",'Semana 4'!W8,FALSE))))</f>
        <v/>
      </c>
      <c r="AS9" s="54" t="str">
        <f>IF($E$7="Semana 1",'Semana 1'!X8,IF($E$7="Semana 2",'Semana 2'!X8,IF($E$7="Semana 3",'Semana 3'!X8,IF($E$7="Semana 4",'Semana 4'!X8,FALSE))))</f>
        <v/>
      </c>
      <c r="AT9" s="55" t="str">
        <f>IF($E$7="Semana 1",'Semana 1'!Y8,IF($E$7="Semana 2",'Semana 2'!Y8,IF($E$7="Semana 3",'Semana 3'!Y8,IF($E$7="Semana 4",'Semana 4'!Y8,FALSE))))</f>
        <v>0.0</v>
      </c>
      <c r="AU9" s="55" t="str">
        <f>IF($E$7="Semana 1",'Semana 1'!Z8,IF($E$7="Semana 2",'Semana 2'!Z8,IF($E$7="Semana 3",'Semana 3'!Z8,IF($E$7="Semana 4",'Semana 4'!Z8,FALSE))))</f>
        <v>-1.0</v>
      </c>
      <c r="AV9" s="55" t="str">
        <f>IF($E$7="Semana 1",'Semana 1'!AA8,IF($E$7="Semana 2",'Semana 2'!AA8,IF($E$7="Semana 3",'Semana 3'!AA8,IF($E$7="Semana 4",'Semana 4'!AA8,FALSE))))</f>
        <v>-1.0</v>
      </c>
      <c r="AW9" s="55" t="str">
        <f>IF($E$7="Semana 1",'Semana 1'!AB8,IF($E$7="Semana 2",'Semana 2'!AB8,IF($E$7="Semana 3",'Semana 3'!AB8,IF($E$7="Semana 4",'Semana 4'!AB8,FALSE))))</f>
        <v>-1.0</v>
      </c>
      <c r="AX9" s="55" t="str">
        <f>IF($E$7="Semana 1",'Semana 1'!AC8,IF($E$7="Semana 2",'Semana 2'!AC8,IF($E$7="Semana 3",'Semana 3'!AC8,IF($E$7="Semana 4",'Semana 4'!AC8,FALSE))))</f>
        <v>-1.0</v>
      </c>
      <c r="AY9" s="55" t="str">
        <f>IF($E$7="Semana 1",'Semana 1'!AD8,IF($E$7="Semana 2",'Semana 2'!AD8,IF($E$7="Semana 3",'Semana 3'!AD8,IF($E$7="Semana 4",'Semana 4'!AD8,FALSE))))</f>
        <v>-5.0</v>
      </c>
    </row>
    <row r="10">
      <c r="B10" s="181"/>
      <c r="C10" s="182">
        <v>0.2916666666666667</v>
      </c>
      <c r="E10" s="181"/>
      <c r="F10" s="182">
        <v>0.5</v>
      </c>
      <c r="H10" s="181"/>
      <c r="I10" s="182">
        <v>0.2916666666666667</v>
      </c>
      <c r="K10" s="181"/>
      <c r="L10" s="182">
        <v>0.7291666666666666</v>
      </c>
      <c r="N10" s="181"/>
      <c r="O10" t="s">
        <v>648</v>
      </c>
      <c r="Q10" s="181"/>
      <c r="R10" s="182">
        <v>0.3541666666666667</v>
      </c>
      <c r="Y10" s="179" t="str">
        <f t="shared" si="1"/>
        <v>4</v>
      </c>
      <c r="Z10" s="180" t="str">
        <f>IF($E$7="Semana 1",'Semana 1'!E9,IF($E$7="Semana 2",'Semana 2'!E9,IF($E$7="Semana 3",'Semana 3'!E9,IF($E$7="Semana 4",'Semana 4'!E9,FALSE))))</f>
        <v>Daisy Yomara Mateo</v>
      </c>
      <c r="AA10" s="180" t="str">
        <f>IF($E$7="Semana 1",'Semana 1'!F9,IF($E$7="Semana 2",'Semana 2'!F9,IF($E$7="Semana 3",'Semana 3'!F9,IF($E$7="Semana 4",'Semana 4'!F9,FALSE))))</f>
        <v>Semana 1</v>
      </c>
      <c r="AB10" s="180" t="str">
        <f>IF($E$7="Semana 1",'Semana 1'!G9,IF($E$7="Semana 2",'Semana 2'!G9,IF($E$7="Semana 3",'Semana 3'!G9,IF($E$7="Semana 4",'Semana 4'!G9,FALSE))))</f>
        <v>SOPORTE</v>
      </c>
      <c r="AC10" s="51" t="str">
        <f>IF($E$7="Semana 1",'Semana 1'!H9,IF($E$7="Semana 2",'Semana 2'!H9,IF($E$7="Semana 3",'Semana 3'!H9,IF($E$7="Semana 4",'Semana 4'!H9,FALSE))))</f>
        <v/>
      </c>
      <c r="AD10" s="51" t="str">
        <f>IF($E$7="Semana 1",'Semana 1'!I9,IF($E$7="Semana 2",'Semana 2'!I9,IF($E$7="Semana 3",'Semana 3'!I9,IF($E$7="Semana 4",'Semana 4'!I9,FALSE))))</f>
        <v> </v>
      </c>
      <c r="AE10" s="51" t="str">
        <f>IF($E$7="Semana 1",'Semana 1'!J9,IF($E$7="Semana 2",'Semana 2'!J9,IF($E$7="Semana 3",'Semana 3'!J9,IF($E$7="Semana 4",'Semana 4'!J9,FALSE))))</f>
        <v/>
      </c>
      <c r="AF10" s="51" t="str">
        <f>IF($E$7="Semana 1",'Semana 1'!K9,IF($E$7="Semana 2",'Semana 2'!K9,IF($E$7="Semana 3",'Semana 3'!K9,IF($E$7="Semana 4",'Semana 4'!K9,FALSE))))</f>
        <v> - </v>
      </c>
      <c r="AG10" s="51" t="str">
        <f>IF($E$7="Semana 1",'Semana 1'!L9,IF($E$7="Semana 2",'Semana 2'!L9,IF($E$7="Semana 3",'Semana 3'!L9,IF($E$7="Semana 4",'Semana 4'!L9,FALSE))))</f>
        <v/>
      </c>
      <c r="AH10" s="51" t="str">
        <f>IF($E$7="Semana 1",'Semana 1'!M9,IF($E$7="Semana 2",'Semana 2'!M9,IF($E$7="Semana 3",'Semana 3'!M9,IF($E$7="Semana 4",'Semana 4'!M9,FALSE))))</f>
        <v> - </v>
      </c>
      <c r="AI10" s="51" t="str">
        <f>IF($E$7="Semana 1",'Semana 1'!N9,IF($E$7="Semana 2",'Semana 2'!N9,IF($E$7="Semana 3",'Semana 3'!N9,IF($E$7="Semana 4",'Semana 4'!N9,FALSE))))</f>
        <v/>
      </c>
      <c r="AJ10" s="51" t="str">
        <f>IF($E$7="Semana 1",'Semana 1'!O9,IF($E$7="Semana 2",'Semana 2'!O9,IF($E$7="Semana 3",'Semana 3'!O9,IF($E$7="Semana 4",'Semana 4'!O9,FALSE))))</f>
        <v> - </v>
      </c>
      <c r="AK10" s="52" t="str">
        <f>IF($E$7="Semana 1",'Semana 1'!P9,IF($E$7="Semana 2",'Semana 2'!P9,IF($E$7="Semana 3",'Semana 3'!P9,IF($E$7="Semana 4",'Semana 4'!P9,FALSE))))</f>
        <v>-1.0</v>
      </c>
      <c r="AL10" s="51" t="str">
        <f>IF($E$7="Semana 1",'Semana 1'!Q9,IF($E$7="Semana 2",'Semana 2'!Q9,IF($E$7="Semana 3",'Semana 3'!Q9,IF($E$7="Semana 4",'Semana 4'!Q9,FALSE))))</f>
        <v/>
      </c>
      <c r="AM10" s="51" t="str">
        <f>IF($E$7="Semana 1",'Semana 1'!R9,IF($E$7="Semana 2",'Semana 2'!R9,IF($E$7="Semana 3",'Semana 3'!R9,IF($E$7="Semana 4",'Semana 4'!R9,FALSE))))</f>
        <v/>
      </c>
      <c r="AN10" s="53" t="str">
        <f>IF($E$7="Semana 1",'Semana 1'!S9,IF($E$7="Semana 2",'Semana 2'!S9,IF($E$7="Semana 3",'Semana 3'!S9,IF($E$7="Semana 4",'Semana 4'!S9,FALSE))))</f>
        <v/>
      </c>
      <c r="AO10" s="53" t="str">
        <f>IF($E$7="Semana 1",'Semana 1'!T9,IF($E$7="Semana 2",'Semana 2'!T9,IF($E$7="Semana 3",'Semana 3'!T9,IF($E$7="Semana 4",'Semana 4'!T9,FALSE))))</f>
        <v/>
      </c>
      <c r="AP10" s="51" t="str">
        <f>IF($E$7="Semana 1",'Semana 1'!U9,IF($E$7="Semana 2",'Semana 2'!U9,IF($E$7="Semana 3",'Semana 3'!U9,IF($E$7="Semana 4",'Semana 4'!U9,FALSE))))</f>
        <v/>
      </c>
      <c r="AQ10" s="51" t="str">
        <f>IF($E$7="Semana 1",'Semana 1'!V9,IF($E$7="Semana 2",'Semana 2'!V9,IF($E$7="Semana 3",'Semana 3'!V9,IF($E$7="Semana 4",'Semana 4'!V9,FALSE))))</f>
        <v/>
      </c>
      <c r="AR10" s="53" t="str">
        <f>IF($E$7="Semana 1",'Semana 1'!W9,IF($E$7="Semana 2",'Semana 2'!W9,IF($E$7="Semana 3",'Semana 3'!W9,IF($E$7="Semana 4",'Semana 4'!W9,FALSE))))</f>
        <v/>
      </c>
      <c r="AS10" s="53" t="str">
        <f>IF($E$7="Semana 1",'Semana 1'!X9,IF($E$7="Semana 2",'Semana 2'!X9,IF($E$7="Semana 3",'Semana 3'!X9,IF($E$7="Semana 4",'Semana 4'!X9,FALSE))))</f>
        <v/>
      </c>
      <c r="AT10" s="52" t="str">
        <f>IF($E$7="Semana 1",'Semana 1'!Y9,IF($E$7="Semana 2",'Semana 2'!Y9,IF($E$7="Semana 3",'Semana 3'!Y9,IF($E$7="Semana 4",'Semana 4'!Y9,FALSE))))</f>
        <v>0.0</v>
      </c>
      <c r="AU10" s="52" t="str">
        <f>IF($E$7="Semana 1",'Semana 1'!Z9,IF($E$7="Semana 2",'Semana 2'!Z9,IF($E$7="Semana 3",'Semana 3'!Z9,IF($E$7="Semana 4",'Semana 4'!Z9,FALSE))))</f>
        <v>-1.0</v>
      </c>
      <c r="AV10" s="52" t="str">
        <f>IF($E$7="Semana 1",'Semana 1'!AA9,IF($E$7="Semana 2",'Semana 2'!AA9,IF($E$7="Semana 3",'Semana 3'!AA9,IF($E$7="Semana 4",'Semana 4'!AA9,FALSE))))</f>
        <v>-1.0</v>
      </c>
      <c r="AW10" s="52" t="str">
        <f>IF($E$7="Semana 1",'Semana 1'!AB9,IF($E$7="Semana 2",'Semana 2'!AB9,IF($E$7="Semana 3",'Semana 3'!AB9,IF($E$7="Semana 4",'Semana 4'!AB9,FALSE))))</f>
        <v>-1.0</v>
      </c>
      <c r="AX10" s="52" t="str">
        <f>IF($E$7="Semana 1",'Semana 1'!AC9,IF($E$7="Semana 2",'Semana 2'!AC9,IF($E$7="Semana 3",'Semana 3'!AC9,IF($E$7="Semana 4",'Semana 4'!AC9,FALSE))))</f>
        <v>-1.0</v>
      </c>
      <c r="AY10" s="52" t="str">
        <f>IF($E$7="Semana 1",'Semana 1'!AD9,IF($E$7="Semana 2",'Semana 2'!AD9,IF($E$7="Semana 3",'Semana 3'!AD9,IF($E$7="Semana 4",'Semana 4'!AD9,FALSE))))</f>
        <v>-5.0</v>
      </c>
    </row>
    <row r="11">
      <c r="Y11" s="18" t="str">
        <f t="shared" si="1"/>
        <v>5</v>
      </c>
      <c r="Z11" s="19" t="str">
        <f>IF($E$7="Semana 1",'Semana 1'!E10,IF($E$7="Semana 2",'Semana 2'!E10,IF($E$7="Semana 3",'Semana 3'!E10,IF($E$7="Semana 4",'Semana 4'!E10,FALSE))))</f>
        <v>Carlo Giordiano Caballero Morales</v>
      </c>
      <c r="AA11" s="19" t="str">
        <f>IF($E$7="Semana 1",'Semana 1'!F10,IF($E$7="Semana 2",'Semana 2'!F10,IF($E$7="Semana 3",'Semana 3'!F10,IF($E$7="Semana 4",'Semana 4'!F10,FALSE))))</f>
        <v>Semana 1</v>
      </c>
      <c r="AB11" s="19" t="str">
        <f>IF($E$7="Semana 1",'Semana 1'!G10,IF($E$7="Semana 2",'Semana 2'!G10,IF($E$7="Semana 3",'Semana 3'!G10,IF($E$7="Semana 4",'Semana 4'!G10,FALSE))))</f>
        <v>REDES</v>
      </c>
      <c r="AC11" s="54" t="str">
        <f>IF($E$7="Semana 1",'Semana 1'!H10,IF($E$7="Semana 2",'Semana 2'!H10,IF($E$7="Semana 3",'Semana 3'!H10,IF($E$7="Semana 4",'Semana 4'!H10,FALSE))))</f>
        <v>7:00</v>
      </c>
      <c r="AD11" s="54" t="str">
        <f>IF($E$7="Semana 1",'Semana 1'!I10,IF($E$7="Semana 2",'Semana 2'!I10,IF($E$7="Semana 3",'Semana 3'!I10,IF($E$7="Semana 4",'Semana 4'!I10,FALSE))))</f>
        <v>16:00</v>
      </c>
      <c r="AE11" s="54" t="str">
        <f>IF($E$7="Semana 1",'Semana 1'!J10,IF($E$7="Semana 2",'Semana 2'!J10,IF($E$7="Semana 3",'Semana 3'!J10,IF($E$7="Semana 4",'Semana 4'!J10,FALSE))))</f>
        <v>13:00</v>
      </c>
      <c r="AF11" s="54" t="str">
        <f>IF($E$7="Semana 1",'Semana 1'!K10,IF($E$7="Semana 2",'Semana 2'!K10,IF($E$7="Semana 3",'Semana 3'!K10,IF($E$7="Semana 4",'Semana 4'!K10,FALSE))))</f>
        <v>14:00</v>
      </c>
      <c r="AG11" s="54" t="str">
        <f>IF($E$7="Semana 1",'Semana 1'!L10,IF($E$7="Semana 2",'Semana 2'!L10,IF($E$7="Semana 3",'Semana 3'!L10,IF($E$7="Semana 4",'Semana 4'!L10,FALSE))))</f>
        <v>8:40</v>
      </c>
      <c r="AH11" s="54" t="str">
        <f>IF($E$7="Semana 1",'Semana 1'!M10,IF($E$7="Semana 2",'Semana 2'!M10,IF($E$7="Semana 3",'Semana 3'!M10,IF($E$7="Semana 4",'Semana 4'!M10,FALSE))))</f>
        <v>9:00</v>
      </c>
      <c r="AI11" s="54" t="str">
        <f>IF($E$7="Semana 1",'Semana 1'!N10,IF($E$7="Semana 2",'Semana 2'!N10,IF($E$7="Semana 3",'Semana 3'!N10,IF($E$7="Semana 4",'Semana 4'!N10,FALSE))))</f>
        <v>14:20</v>
      </c>
      <c r="AJ11" s="54" t="str">
        <f>IF($E$7="Semana 1",'Semana 1'!O10,IF($E$7="Semana 2",'Semana 2'!O10,IF($E$7="Semana 3",'Semana 3'!O10,IF($E$7="Semana 4",'Semana 4'!O10,FALSE))))</f>
        <v>14:30</v>
      </c>
      <c r="AK11" s="55" t="str">
        <f>IF($E$7="Semana 1",'Semana 1'!P10,IF($E$7="Semana 2",'Semana 2'!P10,IF($E$7="Semana 3",'Semana 3'!P10,IF($E$7="Semana 4",'Semana 4'!P10,FALSE))))</f>
        <v>8.0</v>
      </c>
      <c r="AL11" s="54" t="str">
        <f>IF($E$7="Semana 1",'Semana 1'!Q10,IF($E$7="Semana 2",'Semana 2'!Q10,IF($E$7="Semana 3",'Semana 3'!Q10,IF($E$7="Semana 4",'Semana 4'!Q10,FALSE))))</f>
        <v>8:30</v>
      </c>
      <c r="AM11" s="54" t="str">
        <f>IF($E$7="Semana 1",'Semana 1'!R10,IF($E$7="Semana 2",'Semana 2'!R10,IF($E$7="Semana 3",'Semana 3'!R10,IF($E$7="Semana 4",'Semana 4'!R10,FALSE))))</f>
        <v>13:30</v>
      </c>
      <c r="AN11" s="56" t="str">
        <f>IF($E$7="Semana 1",'Semana 1'!S10,IF($E$7="Semana 2",'Semana 2'!S10,IF($E$7="Semana 3",'Semana 3'!S10,IF($E$7="Semana 4",'Semana 4'!S10,FALSE))))</f>
        <v/>
      </c>
      <c r="AO11" s="56" t="str">
        <f>IF($E$7="Semana 1",'Semana 1'!T10,IF($E$7="Semana 2",'Semana 2'!T10,IF($E$7="Semana 3",'Semana 3'!T10,IF($E$7="Semana 4",'Semana 4'!T10,FALSE))))</f>
        <v/>
      </c>
      <c r="AP11" s="54" t="str">
        <f>IF($E$7="Semana 1",'Semana 1'!U10,IF($E$7="Semana 2",'Semana 2'!U10,IF($E$7="Semana 3",'Semana 3'!U10,IF($E$7="Semana 4",'Semana 4'!U10,FALSE))))</f>
        <v>9:00</v>
      </c>
      <c r="AQ11" s="54" t="str">
        <f>IF($E$7="Semana 1",'Semana 1'!V10,IF($E$7="Semana 2",'Semana 2'!V10,IF($E$7="Semana 3",'Semana 3'!V10,IF($E$7="Semana 4",'Semana 4'!V10,FALSE))))</f>
        <v>9:30</v>
      </c>
      <c r="AR11" s="56" t="str">
        <f>IF($E$7="Semana 1",'Semana 1'!W10,IF($E$7="Semana 2",'Semana 2'!W10,IF($E$7="Semana 3",'Semana 3'!W10,IF($E$7="Semana 4",'Semana 4'!W10,FALSE))))</f>
        <v/>
      </c>
      <c r="AS11" s="56" t="str">
        <f>IF($E$7="Semana 1",'Semana 1'!X10,IF($E$7="Semana 2",'Semana 2'!X10,IF($E$7="Semana 3",'Semana 3'!X10,IF($E$7="Semana 4",'Semana 4'!X10,FALSE))))</f>
        <v/>
      </c>
      <c r="AT11" s="55" t="str">
        <f>IF($E$7="Semana 1",'Semana 1'!Y10,IF($E$7="Semana 2",'Semana 2'!Y10,IF($E$7="Semana 3",'Semana 3'!Y10,IF($E$7="Semana 4",'Semana 4'!Y10,FALSE))))</f>
        <v>5.0</v>
      </c>
      <c r="AU11" s="55" t="str">
        <f>IF($E$7="Semana 1",'Semana 1'!Z10,IF($E$7="Semana 2",'Semana 2'!Z10,IF($E$7="Semana 3",'Semana 3'!Z10,IF($E$7="Semana 4",'Semana 4'!Z10,FALSE))))</f>
        <v>8.0</v>
      </c>
      <c r="AV11" s="55" t="str">
        <f>IF($E$7="Semana 1",'Semana 1'!AA10,IF($E$7="Semana 2",'Semana 2'!AA10,IF($E$7="Semana 3",'Semana 3'!AA10,IF($E$7="Semana 4",'Semana 4'!AA10,FALSE))))</f>
        <v>8.0</v>
      </c>
      <c r="AW11" s="55" t="str">
        <f>IF($E$7="Semana 1",'Semana 1'!AB10,IF($E$7="Semana 2",'Semana 2'!AB10,IF($E$7="Semana 3",'Semana 3'!AB10,IF($E$7="Semana 4",'Semana 4'!AB10,FALSE))))</f>
        <v>8.0</v>
      </c>
      <c r="AX11" s="55" t="str">
        <f>IF($E$7="Semana 1",'Semana 1'!AC10,IF($E$7="Semana 2",'Semana 2'!AC10,IF($E$7="Semana 3",'Semana 3'!AC10,IF($E$7="Semana 4",'Semana 4'!AC10,FALSE))))</f>
        <v>8.0</v>
      </c>
      <c r="AY11" s="55" t="str">
        <f>IF($E$7="Semana 1",'Semana 1'!AD10,IF($E$7="Semana 2",'Semana 2'!AD10,IF($E$7="Semana 3",'Semana 3'!AD10,IF($E$7="Semana 4",'Semana 4'!AD10,FALSE))))</f>
        <v>45.1</v>
      </c>
    </row>
    <row r="12">
      <c r="B12" s="181"/>
      <c r="E12" s="181"/>
      <c r="H12" s="181"/>
      <c r="K12" s="181"/>
      <c r="N12" s="181"/>
      <c r="Q12" s="181"/>
      <c r="Y12" s="179" t="str">
        <f t="shared" si="1"/>
        <v>6</v>
      </c>
      <c r="Z12" s="180" t="str">
        <f>IF($E$7="Semana 1",'Semana 1'!E11,IF($E$7="Semana 2",'Semana 2'!E11,IF($E$7="Semana 3",'Semana 3'!E11,IF($E$7="Semana 4",'Semana 4'!E11,FALSE))))</f>
        <v>Ani Rubi Lucero Gonzalez</v>
      </c>
      <c r="AA12" s="180" t="str">
        <f>IF($E$7="Semana 1",'Semana 1'!F11,IF($E$7="Semana 2",'Semana 2'!F11,IF($E$7="Semana 3",'Semana 3'!F11,IF($E$7="Semana 4",'Semana 4'!F11,FALSE))))</f>
        <v>Semana 1</v>
      </c>
      <c r="AB12" s="180" t="str">
        <f>IF($E$7="Semana 1",'Semana 1'!G11,IF($E$7="Semana 2",'Semana 2'!G11,IF($E$7="Semana 3",'Semana 3'!G11,IF($E$7="Semana 4",'Semana 4'!G11,FALSE))))</f>
        <v>SOPORTE</v>
      </c>
      <c r="AC12" s="51" t="str">
        <f>IF($E$7="Semana 1",'Semana 1'!H11,IF($E$7="Semana 2",'Semana 2'!H11,IF($E$7="Semana 3",'Semana 3'!H11,IF($E$7="Semana 4",'Semana 4'!H11,FALSE))))</f>
        <v/>
      </c>
      <c r="AD12" s="51" t="str">
        <f>IF($E$7="Semana 1",'Semana 1'!I11,IF($E$7="Semana 2",'Semana 2'!I11,IF($E$7="Semana 3",'Semana 3'!I11,IF($E$7="Semana 4",'Semana 4'!I11,FALSE))))</f>
        <v> </v>
      </c>
      <c r="AE12" s="51" t="str">
        <f>IF($E$7="Semana 1",'Semana 1'!J11,IF($E$7="Semana 2",'Semana 2'!J11,IF($E$7="Semana 3",'Semana 3'!J11,IF($E$7="Semana 4",'Semana 4'!J11,FALSE))))</f>
        <v/>
      </c>
      <c r="AF12" s="51" t="str">
        <f>IF($E$7="Semana 1",'Semana 1'!K11,IF($E$7="Semana 2",'Semana 2'!K11,IF($E$7="Semana 3",'Semana 3'!K11,IF($E$7="Semana 4",'Semana 4'!K11,FALSE))))</f>
        <v> - </v>
      </c>
      <c r="AG12" s="51" t="str">
        <f>IF($E$7="Semana 1",'Semana 1'!L11,IF($E$7="Semana 2",'Semana 2'!L11,IF($E$7="Semana 3",'Semana 3'!L11,IF($E$7="Semana 4",'Semana 4'!L11,FALSE))))</f>
        <v/>
      </c>
      <c r="AH12" s="51" t="str">
        <f>IF($E$7="Semana 1",'Semana 1'!M11,IF($E$7="Semana 2",'Semana 2'!M11,IF($E$7="Semana 3",'Semana 3'!M11,IF($E$7="Semana 4",'Semana 4'!M11,FALSE))))</f>
        <v> - </v>
      </c>
      <c r="AI12" s="51" t="str">
        <f>IF($E$7="Semana 1",'Semana 1'!N11,IF($E$7="Semana 2",'Semana 2'!N11,IF($E$7="Semana 3",'Semana 3'!N11,IF($E$7="Semana 4",'Semana 4'!N11,FALSE))))</f>
        <v/>
      </c>
      <c r="AJ12" s="51" t="str">
        <f>IF($E$7="Semana 1",'Semana 1'!O11,IF($E$7="Semana 2",'Semana 2'!O11,IF($E$7="Semana 3",'Semana 3'!O11,IF($E$7="Semana 4",'Semana 4'!O11,FALSE))))</f>
        <v> - </v>
      </c>
      <c r="AK12" s="52" t="str">
        <f>IF($E$7="Semana 1",'Semana 1'!P11,IF($E$7="Semana 2",'Semana 2'!P11,IF($E$7="Semana 3",'Semana 3'!P11,IF($E$7="Semana 4",'Semana 4'!P11,FALSE))))</f>
        <v>-1.0</v>
      </c>
      <c r="AL12" s="51" t="str">
        <f>IF($E$7="Semana 1",'Semana 1'!Q11,IF($E$7="Semana 2",'Semana 2'!Q11,IF($E$7="Semana 3",'Semana 3'!Q11,IF($E$7="Semana 4",'Semana 4'!Q11,FALSE))))</f>
        <v/>
      </c>
      <c r="AM12" s="51" t="str">
        <f>IF($E$7="Semana 1",'Semana 1'!R11,IF($E$7="Semana 2",'Semana 2'!R11,IF($E$7="Semana 3",'Semana 3'!R11,IF($E$7="Semana 4",'Semana 4'!R11,FALSE))))</f>
        <v/>
      </c>
      <c r="AN12" s="53" t="str">
        <f>IF($E$7="Semana 1",'Semana 1'!S11,IF($E$7="Semana 2",'Semana 2'!S11,IF($E$7="Semana 3",'Semana 3'!S11,IF($E$7="Semana 4",'Semana 4'!S11,FALSE))))</f>
        <v/>
      </c>
      <c r="AO12" s="53" t="str">
        <f>IF($E$7="Semana 1",'Semana 1'!T11,IF($E$7="Semana 2",'Semana 2'!T11,IF($E$7="Semana 3",'Semana 3'!T11,IF($E$7="Semana 4",'Semana 4'!T11,FALSE))))</f>
        <v/>
      </c>
      <c r="AP12" s="51" t="str">
        <f>IF($E$7="Semana 1",'Semana 1'!U11,IF($E$7="Semana 2",'Semana 2'!U11,IF($E$7="Semana 3",'Semana 3'!U11,IF($E$7="Semana 4",'Semana 4'!U11,FALSE))))</f>
        <v/>
      </c>
      <c r="AQ12" s="51" t="str">
        <f>IF($E$7="Semana 1",'Semana 1'!V11,IF($E$7="Semana 2",'Semana 2'!V11,IF($E$7="Semana 3",'Semana 3'!V11,IF($E$7="Semana 4",'Semana 4'!V11,FALSE))))</f>
        <v/>
      </c>
      <c r="AR12" s="53" t="str">
        <f>IF($E$7="Semana 1",'Semana 1'!W11,IF($E$7="Semana 2",'Semana 2'!W11,IF($E$7="Semana 3",'Semana 3'!W11,IF($E$7="Semana 4",'Semana 4'!W11,FALSE))))</f>
        <v/>
      </c>
      <c r="AS12" s="53" t="str">
        <f>IF($E$7="Semana 1",'Semana 1'!X11,IF($E$7="Semana 2",'Semana 2'!X11,IF($E$7="Semana 3",'Semana 3'!X11,IF($E$7="Semana 4",'Semana 4'!X11,FALSE))))</f>
        <v/>
      </c>
      <c r="AT12" s="52" t="str">
        <f>IF($E$7="Semana 1",'Semana 1'!Y11,IF($E$7="Semana 2",'Semana 2'!Y11,IF($E$7="Semana 3",'Semana 3'!Y11,IF($E$7="Semana 4",'Semana 4'!Y11,FALSE))))</f>
        <v>0.0</v>
      </c>
      <c r="AU12" s="52" t="str">
        <f>IF($E$7="Semana 1",'Semana 1'!Z11,IF($E$7="Semana 2",'Semana 2'!Z11,IF($E$7="Semana 3",'Semana 3'!Z11,IF($E$7="Semana 4",'Semana 4'!Z11,FALSE))))</f>
        <v>-1.0</v>
      </c>
      <c r="AV12" s="52" t="str">
        <f>IF($E$7="Semana 1",'Semana 1'!AA11,IF($E$7="Semana 2",'Semana 2'!AA11,IF($E$7="Semana 3",'Semana 3'!AA11,IF($E$7="Semana 4",'Semana 4'!AA11,FALSE))))</f>
        <v>-1.0</v>
      </c>
      <c r="AW12" s="52" t="str">
        <f>IF($E$7="Semana 1",'Semana 1'!AB11,IF($E$7="Semana 2",'Semana 2'!AB11,IF($E$7="Semana 3",'Semana 3'!AB11,IF($E$7="Semana 4",'Semana 4'!AB11,FALSE))))</f>
        <v>-1.0</v>
      </c>
      <c r="AX12" s="52" t="str">
        <f>IF($E$7="Semana 1",'Semana 1'!AC11,IF($E$7="Semana 2",'Semana 2'!AC11,IF($E$7="Semana 3",'Semana 3'!AC11,IF($E$7="Semana 4",'Semana 4'!AC11,FALSE))))</f>
        <v>-1.0</v>
      </c>
      <c r="AY12" s="52" t="str">
        <f>IF($E$7="Semana 1",'Semana 1'!AD11,IF($E$7="Semana 2",'Semana 2'!AD11,IF($E$7="Semana 3",'Semana 3'!AD11,IF($E$7="Semana 4",'Semana 4'!AD11,FALSE))))</f>
        <v>-5.0</v>
      </c>
    </row>
    <row r="13">
      <c r="Y13" s="18" t="str">
        <f t="shared" si="1"/>
        <v>7</v>
      </c>
      <c r="Z13" s="19" t="str">
        <f>IF($E$7="Semana 1",'Semana 1'!E12,IF($E$7="Semana 2",'Semana 2'!E12,IF($E$7="Semana 3",'Semana 3'!E12,IF($E$7="Semana 4",'Semana 4'!E12,FALSE))))</f>
        <v>Hilda Sofia Gonzalez De León</v>
      </c>
      <c r="AA13" s="19" t="str">
        <f>IF($E$7="Semana 1",'Semana 1'!F12,IF($E$7="Semana 2",'Semana 2'!F12,IF($E$7="Semana 3",'Semana 3'!F12,IF($E$7="Semana 4",'Semana 4'!F12,FALSE))))</f>
        <v>Semana 1</v>
      </c>
      <c r="AB13" s="19" t="str">
        <f>IF($E$7="Semana 1",'Semana 1'!G12,IF($E$7="Semana 2",'Semana 2'!G12,IF($E$7="Semana 3",'Semana 3'!G12,IF($E$7="Semana 4",'Semana 4'!G12,FALSE))))</f>
        <v>REDES</v>
      </c>
      <c r="AC13" s="54" t="str">
        <f>IF($E$7="Semana 1",'Semana 1'!H12,IF($E$7="Semana 2",'Semana 2'!H12,IF($E$7="Semana 3",'Semana 3'!H12,IF($E$7="Semana 4",'Semana 4'!H12,FALSE))))</f>
        <v>9:00</v>
      </c>
      <c r="AD13" s="54" t="str">
        <f>IF($E$7="Semana 1",'Semana 1'!I12,IF($E$7="Semana 2",'Semana 2'!I12,IF($E$7="Semana 3",'Semana 3'!I12,IF($E$7="Semana 4",'Semana 4'!I12,FALSE))))</f>
        <v>18:00</v>
      </c>
      <c r="AE13" s="54" t="str">
        <f>IF($E$7="Semana 1",'Semana 1'!J12,IF($E$7="Semana 2",'Semana 2'!J12,IF($E$7="Semana 3",'Semana 3'!J12,IF($E$7="Semana 4",'Semana 4'!J12,FALSE))))</f>
        <v>12:00</v>
      </c>
      <c r="AF13" s="54" t="str">
        <f>IF($E$7="Semana 1",'Semana 1'!K12,IF($E$7="Semana 2",'Semana 2'!K12,IF($E$7="Semana 3",'Semana 3'!K12,IF($E$7="Semana 4",'Semana 4'!K12,FALSE))))</f>
        <v>13:00</v>
      </c>
      <c r="AG13" s="54" t="str">
        <f>IF($E$7="Semana 1",'Semana 1'!L12,IF($E$7="Semana 2",'Semana 2'!L12,IF($E$7="Semana 3",'Semana 3'!L12,IF($E$7="Semana 4",'Semana 4'!L12,FALSE))))</f>
        <v>10:20</v>
      </c>
      <c r="AH13" s="54" t="str">
        <f>IF($E$7="Semana 1",'Semana 1'!M12,IF($E$7="Semana 2",'Semana 2'!M12,IF($E$7="Semana 3",'Semana 3'!M12,IF($E$7="Semana 4",'Semana 4'!M12,FALSE))))</f>
        <v>10:40</v>
      </c>
      <c r="AI13" s="54" t="str">
        <f>IF($E$7="Semana 1",'Semana 1'!N12,IF($E$7="Semana 2",'Semana 2'!N12,IF($E$7="Semana 3",'Semana 3'!N12,IF($E$7="Semana 4",'Semana 4'!N12,FALSE))))</f>
        <v>15:40</v>
      </c>
      <c r="AJ13" s="54" t="str">
        <f>IF($E$7="Semana 1",'Semana 1'!O12,IF($E$7="Semana 2",'Semana 2'!O12,IF($E$7="Semana 3",'Semana 3'!O12,IF($E$7="Semana 4",'Semana 4'!O12,FALSE))))</f>
        <v>15:50</v>
      </c>
      <c r="AK13" s="55" t="str">
        <f>IF($E$7="Semana 1",'Semana 1'!P12,IF($E$7="Semana 2",'Semana 2'!P12,IF($E$7="Semana 3",'Semana 3'!P12,IF($E$7="Semana 4",'Semana 4'!P12,FALSE))))</f>
        <v>8.0</v>
      </c>
      <c r="AL13" s="54" t="str">
        <f>IF($E$7="Semana 1",'Semana 1'!Q12,IF($E$7="Semana 2",'Semana 2'!Q12,IF($E$7="Semana 3",'Semana 3'!Q12,IF($E$7="Semana 4",'Semana 4'!Q12,FALSE))))</f>
        <v>9:00</v>
      </c>
      <c r="AM13" s="54" t="str">
        <f>IF($E$7="Semana 1",'Semana 1'!R12,IF($E$7="Semana 2",'Semana 2'!R12,IF($E$7="Semana 3",'Semana 3'!R12,IF($E$7="Semana 4",'Semana 4'!R12,FALSE))))</f>
        <v>14:00</v>
      </c>
      <c r="AN13" s="56" t="str">
        <f>IF($E$7="Semana 1",'Semana 1'!S12,IF($E$7="Semana 2",'Semana 2'!S12,IF($E$7="Semana 3",'Semana 3'!S12,IF($E$7="Semana 4",'Semana 4'!S12,FALSE))))</f>
        <v/>
      </c>
      <c r="AO13" s="56" t="str">
        <f>IF($E$7="Semana 1",'Semana 1'!T12,IF($E$7="Semana 2",'Semana 2'!T12,IF($E$7="Semana 3",'Semana 3'!T12,IF($E$7="Semana 4",'Semana 4'!T12,FALSE))))</f>
        <v/>
      </c>
      <c r="AP13" s="54" t="str">
        <f>IF($E$7="Semana 1",'Semana 1'!U12,IF($E$7="Semana 2",'Semana 2'!U12,IF($E$7="Semana 3",'Semana 3'!U12,IF($E$7="Semana 4",'Semana 4'!U12,FALSE))))</f>
        <v>9:30</v>
      </c>
      <c r="AQ13" s="54" t="str">
        <f>IF($E$7="Semana 1",'Semana 1'!V12,IF($E$7="Semana 2",'Semana 2'!V12,IF($E$7="Semana 3",'Semana 3'!V12,IF($E$7="Semana 4",'Semana 4'!V12,FALSE))))</f>
        <v>10:00</v>
      </c>
      <c r="AR13" s="56" t="str">
        <f>IF($E$7="Semana 1",'Semana 1'!W12,IF($E$7="Semana 2",'Semana 2'!W12,IF($E$7="Semana 3",'Semana 3'!W12,IF($E$7="Semana 4",'Semana 4'!W12,FALSE))))</f>
        <v/>
      </c>
      <c r="AS13" s="56" t="str">
        <f>IF($E$7="Semana 1",'Semana 1'!X12,IF($E$7="Semana 2",'Semana 2'!X12,IF($E$7="Semana 3",'Semana 3'!X12,IF($E$7="Semana 4",'Semana 4'!X12,FALSE))))</f>
        <v/>
      </c>
      <c r="AT13" s="55" t="str">
        <f>IF($E$7="Semana 1",'Semana 1'!Y12,IF($E$7="Semana 2",'Semana 2'!Y12,IF($E$7="Semana 3",'Semana 3'!Y12,IF($E$7="Semana 4",'Semana 4'!Y12,FALSE))))</f>
        <v>5.0</v>
      </c>
      <c r="AU13" s="55" t="str">
        <f>IF($E$7="Semana 1",'Semana 1'!Z12,IF($E$7="Semana 2",'Semana 2'!Z12,IF($E$7="Semana 3",'Semana 3'!Z12,IF($E$7="Semana 4",'Semana 4'!Z12,FALSE))))</f>
        <v>8.0</v>
      </c>
      <c r="AV13" s="55" t="str">
        <f>IF($E$7="Semana 1",'Semana 1'!AA12,IF($E$7="Semana 2",'Semana 2'!AA12,IF($E$7="Semana 3",'Semana 3'!AA12,IF($E$7="Semana 4",'Semana 4'!AA12,FALSE))))</f>
        <v>8.0</v>
      </c>
      <c r="AW13" s="55" t="str">
        <f>IF($E$7="Semana 1",'Semana 1'!AB12,IF($E$7="Semana 2",'Semana 2'!AB12,IF($E$7="Semana 3",'Semana 3'!AB12,IF($E$7="Semana 4",'Semana 4'!AB12,FALSE))))</f>
        <v>8.0</v>
      </c>
      <c r="AX13" s="55" t="str">
        <f>IF($E$7="Semana 1",'Semana 1'!AC12,IF($E$7="Semana 2",'Semana 2'!AC12,IF($E$7="Semana 3",'Semana 3'!AC12,IF($E$7="Semana 4",'Semana 4'!AC12,FALSE))))</f>
        <v>8.0</v>
      </c>
      <c r="AY13" s="55" t="str">
        <f>IF($E$7="Semana 1",'Semana 1'!AD12,IF($E$7="Semana 2",'Semana 2'!AD12,IF($E$7="Semana 3",'Semana 3'!AD12,IF($E$7="Semana 4",'Semana 4'!AD12,FALSE))))</f>
        <v>45.1</v>
      </c>
    </row>
    <row r="14">
      <c r="B14" s="183"/>
      <c r="E14" s="183"/>
      <c r="H14" s="183"/>
      <c r="N14" s="183"/>
      <c r="Y14" s="179" t="str">
        <f t="shared" si="1"/>
        <v>8</v>
      </c>
      <c r="Z14" s="180" t="str">
        <f>IF($E$7="Semana 1",'Semana 1'!E13,IF($E$7="Semana 2",'Semana 2'!E13,IF($E$7="Semana 3",'Semana 3'!E13,IF($E$7="Semana 4",'Semana 4'!E13,FALSE))))</f>
        <v>-</v>
      </c>
      <c r="AA14" s="180" t="str">
        <f>IF($E$7="Semana 1",'Semana 1'!F13,IF($E$7="Semana 2",'Semana 2'!F13,IF($E$7="Semana 3",'Semana 3'!F13,IF($E$7="Semana 4",'Semana 4'!F13,FALSE))))</f>
        <v>Semana 1</v>
      </c>
      <c r="AB14" s="180" t="str">
        <f>IF($E$7="Semana 1",'Semana 1'!G13,IF($E$7="Semana 2",'Semana 2'!G13,IF($E$7="Semana 3",'Semana 3'!G13,IF($E$7="Semana 4",'Semana 4'!G13,FALSE))))</f>
        <v>-</v>
      </c>
      <c r="AC14" s="51" t="str">
        <f>IF($E$7="Semana 1",'Semana 1'!H13,IF($E$7="Semana 2",'Semana 2'!H13,IF($E$7="Semana 3",'Semana 3'!H13,IF($E$7="Semana 4",'Semana 4'!H13,FALSE))))</f>
        <v/>
      </c>
      <c r="AD14" s="51" t="str">
        <f>IF($E$7="Semana 1",'Semana 1'!I13,IF($E$7="Semana 2",'Semana 2'!I13,IF($E$7="Semana 3",'Semana 3'!I13,IF($E$7="Semana 4",'Semana 4'!I13,FALSE))))</f>
        <v> </v>
      </c>
      <c r="AE14" s="51" t="str">
        <f>IF($E$7="Semana 1",'Semana 1'!J13,IF($E$7="Semana 2",'Semana 2'!J13,IF($E$7="Semana 3",'Semana 3'!J13,IF($E$7="Semana 4",'Semana 4'!J13,FALSE))))</f>
        <v/>
      </c>
      <c r="AF14" s="51" t="str">
        <f>IF($E$7="Semana 1",'Semana 1'!K13,IF($E$7="Semana 2",'Semana 2'!K13,IF($E$7="Semana 3",'Semana 3'!K13,IF($E$7="Semana 4",'Semana 4'!K13,FALSE))))</f>
        <v> - </v>
      </c>
      <c r="AG14" s="51" t="str">
        <f>IF($E$7="Semana 1",'Semana 1'!L13,IF($E$7="Semana 2",'Semana 2'!L13,IF($E$7="Semana 3",'Semana 3'!L13,IF($E$7="Semana 4",'Semana 4'!L13,FALSE))))</f>
        <v/>
      </c>
      <c r="AH14" s="51" t="str">
        <f>IF($E$7="Semana 1",'Semana 1'!M13,IF($E$7="Semana 2",'Semana 2'!M13,IF($E$7="Semana 3",'Semana 3'!M13,IF($E$7="Semana 4",'Semana 4'!M13,FALSE))))</f>
        <v> - </v>
      </c>
      <c r="AI14" s="51" t="str">
        <f>IF($E$7="Semana 1",'Semana 1'!N13,IF($E$7="Semana 2",'Semana 2'!N13,IF($E$7="Semana 3",'Semana 3'!N13,IF($E$7="Semana 4",'Semana 4'!N13,FALSE))))</f>
        <v/>
      </c>
      <c r="AJ14" s="51" t="str">
        <f>IF($E$7="Semana 1",'Semana 1'!O13,IF($E$7="Semana 2",'Semana 2'!O13,IF($E$7="Semana 3",'Semana 3'!O13,IF($E$7="Semana 4",'Semana 4'!O13,FALSE))))</f>
        <v> - </v>
      </c>
      <c r="AK14" s="52" t="str">
        <f>IF($E$7="Semana 1",'Semana 1'!P13,IF($E$7="Semana 2",'Semana 2'!P13,IF($E$7="Semana 3",'Semana 3'!P13,IF($E$7="Semana 4",'Semana 4'!P13,FALSE))))</f>
        <v>-1.0</v>
      </c>
      <c r="AL14" s="51" t="str">
        <f>IF($E$7="Semana 1",'Semana 1'!Q13,IF($E$7="Semana 2",'Semana 2'!Q13,IF($E$7="Semana 3",'Semana 3'!Q13,IF($E$7="Semana 4",'Semana 4'!Q13,FALSE))))</f>
        <v/>
      </c>
      <c r="AM14" s="51" t="str">
        <f>IF($E$7="Semana 1",'Semana 1'!R13,IF($E$7="Semana 2",'Semana 2'!R13,IF($E$7="Semana 3",'Semana 3'!R13,IF($E$7="Semana 4",'Semana 4'!R13,FALSE))))</f>
        <v/>
      </c>
      <c r="AN14" s="53" t="str">
        <f>IF($E$7="Semana 1",'Semana 1'!S13,IF($E$7="Semana 2",'Semana 2'!S13,IF($E$7="Semana 3",'Semana 3'!S13,IF($E$7="Semana 4",'Semana 4'!S13,FALSE))))</f>
        <v/>
      </c>
      <c r="AO14" s="53" t="str">
        <f>IF($E$7="Semana 1",'Semana 1'!T13,IF($E$7="Semana 2",'Semana 2'!T13,IF($E$7="Semana 3",'Semana 3'!T13,IF($E$7="Semana 4",'Semana 4'!T13,FALSE))))</f>
        <v/>
      </c>
      <c r="AP14" s="51" t="str">
        <f>IF($E$7="Semana 1",'Semana 1'!U13,IF($E$7="Semana 2",'Semana 2'!U13,IF($E$7="Semana 3",'Semana 3'!U13,IF($E$7="Semana 4",'Semana 4'!U13,FALSE))))</f>
        <v/>
      </c>
      <c r="AQ14" s="51" t="str">
        <f>IF($E$7="Semana 1",'Semana 1'!V13,IF($E$7="Semana 2",'Semana 2'!V13,IF($E$7="Semana 3",'Semana 3'!V13,IF($E$7="Semana 4",'Semana 4'!V13,FALSE))))</f>
        <v/>
      </c>
      <c r="AR14" s="53" t="str">
        <f>IF($E$7="Semana 1",'Semana 1'!W13,IF($E$7="Semana 2",'Semana 2'!W13,IF($E$7="Semana 3",'Semana 3'!W13,IF($E$7="Semana 4",'Semana 4'!W13,FALSE))))</f>
        <v/>
      </c>
      <c r="AS14" s="53" t="str">
        <f>IF($E$7="Semana 1",'Semana 1'!X13,IF($E$7="Semana 2",'Semana 2'!X13,IF($E$7="Semana 3",'Semana 3'!X13,IF($E$7="Semana 4",'Semana 4'!X13,FALSE))))</f>
        <v/>
      </c>
      <c r="AT14" s="52" t="str">
        <f>IF($E$7="Semana 1",'Semana 1'!Y13,IF($E$7="Semana 2",'Semana 2'!Y13,IF($E$7="Semana 3",'Semana 3'!Y13,IF($E$7="Semana 4",'Semana 4'!Y13,FALSE))))</f>
        <v>0.0</v>
      </c>
      <c r="AU14" s="52" t="str">
        <f>IF($E$7="Semana 1",'Semana 1'!Z13,IF($E$7="Semana 2",'Semana 2'!Z13,IF($E$7="Semana 3",'Semana 3'!Z13,IF($E$7="Semana 4",'Semana 4'!Z13,FALSE))))</f>
        <v>-1.0</v>
      </c>
      <c r="AV14" s="52" t="str">
        <f>IF($E$7="Semana 1",'Semana 1'!AA13,IF($E$7="Semana 2",'Semana 2'!AA13,IF($E$7="Semana 3",'Semana 3'!AA13,IF($E$7="Semana 4",'Semana 4'!AA13,FALSE))))</f>
        <v>-1.0</v>
      </c>
      <c r="AW14" s="52" t="str">
        <f>IF($E$7="Semana 1",'Semana 1'!AB13,IF($E$7="Semana 2",'Semana 2'!AB13,IF($E$7="Semana 3",'Semana 3'!AB13,IF($E$7="Semana 4",'Semana 4'!AB13,FALSE))))</f>
        <v>-1.0</v>
      </c>
      <c r="AX14" s="52" t="str">
        <f>IF($E$7="Semana 1",'Semana 1'!AC13,IF($E$7="Semana 2",'Semana 2'!AC13,IF($E$7="Semana 3",'Semana 3'!AC13,IF($E$7="Semana 4",'Semana 4'!AC13,FALSE))))</f>
        <v>-1.0</v>
      </c>
      <c r="AY14" s="52" t="str">
        <f>IF($E$7="Semana 1",'Semana 1'!AD13,IF($E$7="Semana 2",'Semana 2'!AD13,IF($E$7="Semana 3",'Semana 3'!AD13,IF($E$7="Semana 4",'Semana 4'!AD13,FALSE))))</f>
        <v>-5.0</v>
      </c>
    </row>
    <row r="15">
      <c r="B15" s="183"/>
      <c r="E15" s="183"/>
      <c r="N15" s="183"/>
      <c r="Y15" s="18" t="str">
        <f t="shared" si="1"/>
        <v>9</v>
      </c>
      <c r="Z15" s="19" t="str">
        <f>IF($E$7="Semana 1",'Semana 1'!E14,IF($E$7="Semana 2",'Semana 2'!E14,IF($E$7="Semana 3",'Semana 3'!E14,IF($E$7="Semana 4",'Semana 4'!E14,FALSE))))</f>
        <v>Jorge Israel Reyes Valencia</v>
      </c>
      <c r="AA15" s="19" t="str">
        <f>IF($E$7="Semana 1",'Semana 1'!F14,IF($E$7="Semana 2",'Semana 2'!F14,IF($E$7="Semana 3",'Semana 3'!F14,IF($E$7="Semana 4",'Semana 4'!F14,FALSE))))</f>
        <v>Semana 1</v>
      </c>
      <c r="AB15" s="19" t="str">
        <f>IF($E$7="Semana 1",'Semana 1'!G14,IF($E$7="Semana 2",'Semana 2'!G14,IF($E$7="Semana 3",'Semana 3'!G14,IF($E$7="Semana 4",'Semana 4'!G14,FALSE))))</f>
        <v>SOPORTE</v>
      </c>
      <c r="AC15" s="54" t="str">
        <f>IF($E$7="Semana 1",'Semana 1'!H14,IF($E$7="Semana 2",'Semana 2'!H14,IF($E$7="Semana 3",'Semana 3'!H14,IF($E$7="Semana 4",'Semana 4'!H14,FALSE))))</f>
        <v/>
      </c>
      <c r="AD15" s="54" t="str">
        <f>IF($E$7="Semana 1",'Semana 1'!I14,IF($E$7="Semana 2",'Semana 2'!I14,IF($E$7="Semana 3",'Semana 3'!I14,IF($E$7="Semana 4",'Semana 4'!I14,FALSE))))</f>
        <v> </v>
      </c>
      <c r="AE15" s="54" t="str">
        <f>IF($E$7="Semana 1",'Semana 1'!J14,IF($E$7="Semana 2",'Semana 2'!J14,IF($E$7="Semana 3",'Semana 3'!J14,IF($E$7="Semana 4",'Semana 4'!J14,FALSE))))</f>
        <v/>
      </c>
      <c r="AF15" s="54" t="str">
        <f>IF($E$7="Semana 1",'Semana 1'!K14,IF($E$7="Semana 2",'Semana 2'!K14,IF($E$7="Semana 3",'Semana 3'!K14,IF($E$7="Semana 4",'Semana 4'!K14,FALSE))))</f>
        <v> - </v>
      </c>
      <c r="AG15" s="54" t="str">
        <f>IF($E$7="Semana 1",'Semana 1'!L14,IF($E$7="Semana 2",'Semana 2'!L14,IF($E$7="Semana 3",'Semana 3'!L14,IF($E$7="Semana 4",'Semana 4'!L14,FALSE))))</f>
        <v/>
      </c>
      <c r="AH15" s="54" t="str">
        <f>IF($E$7="Semana 1",'Semana 1'!M14,IF($E$7="Semana 2",'Semana 2'!M14,IF($E$7="Semana 3",'Semana 3'!M14,IF($E$7="Semana 4",'Semana 4'!M14,FALSE))))</f>
        <v> - </v>
      </c>
      <c r="AI15" s="54" t="str">
        <f>IF($E$7="Semana 1",'Semana 1'!N14,IF($E$7="Semana 2",'Semana 2'!N14,IF($E$7="Semana 3",'Semana 3'!N14,IF($E$7="Semana 4",'Semana 4'!N14,FALSE))))</f>
        <v/>
      </c>
      <c r="AJ15" s="54" t="str">
        <f>IF($E$7="Semana 1",'Semana 1'!O14,IF($E$7="Semana 2",'Semana 2'!O14,IF($E$7="Semana 3",'Semana 3'!O14,IF($E$7="Semana 4",'Semana 4'!O14,FALSE))))</f>
        <v> - </v>
      </c>
      <c r="AK15" s="55" t="str">
        <f>IF($E$7="Semana 1",'Semana 1'!P14,IF($E$7="Semana 2",'Semana 2'!P14,IF($E$7="Semana 3",'Semana 3'!P14,IF($E$7="Semana 4",'Semana 4'!P14,FALSE))))</f>
        <v>-1.0</v>
      </c>
      <c r="AL15" s="54" t="str">
        <f>IF($E$7="Semana 1",'Semana 1'!Q14,IF($E$7="Semana 2",'Semana 2'!Q14,IF($E$7="Semana 3",'Semana 3'!Q14,IF($E$7="Semana 4",'Semana 4'!Q14,FALSE))))</f>
        <v/>
      </c>
      <c r="AM15" s="54" t="str">
        <f>IF($E$7="Semana 1",'Semana 1'!R14,IF($E$7="Semana 2",'Semana 2'!R14,IF($E$7="Semana 3",'Semana 3'!R14,IF($E$7="Semana 4",'Semana 4'!R14,FALSE))))</f>
        <v/>
      </c>
      <c r="AN15" s="54" t="str">
        <f>IF($E$7="Semana 1",'Semana 1'!S14,IF($E$7="Semana 2",'Semana 2'!S14,IF($E$7="Semana 3",'Semana 3'!S14,IF($E$7="Semana 4",'Semana 4'!S14,FALSE))))</f>
        <v/>
      </c>
      <c r="AO15" s="54" t="str">
        <f>IF($E$7="Semana 1",'Semana 1'!T14,IF($E$7="Semana 2",'Semana 2'!T14,IF($E$7="Semana 3",'Semana 3'!T14,IF($E$7="Semana 4",'Semana 4'!T14,FALSE))))</f>
        <v/>
      </c>
      <c r="AP15" s="54" t="str">
        <f>IF($E$7="Semana 1",'Semana 1'!U14,IF($E$7="Semana 2",'Semana 2'!U14,IF($E$7="Semana 3",'Semana 3'!U14,IF($E$7="Semana 4",'Semana 4'!U14,FALSE))))</f>
        <v/>
      </c>
      <c r="AQ15" s="54" t="str">
        <f>IF($E$7="Semana 1",'Semana 1'!V14,IF($E$7="Semana 2",'Semana 2'!V14,IF($E$7="Semana 3",'Semana 3'!V14,IF($E$7="Semana 4",'Semana 4'!V14,FALSE))))</f>
        <v/>
      </c>
      <c r="AR15" s="54" t="str">
        <f>IF($E$7="Semana 1",'Semana 1'!W14,IF($E$7="Semana 2",'Semana 2'!W14,IF($E$7="Semana 3",'Semana 3'!W14,IF($E$7="Semana 4",'Semana 4'!W14,FALSE))))</f>
        <v/>
      </c>
      <c r="AS15" s="54" t="str">
        <f>IF($E$7="Semana 1",'Semana 1'!X14,IF($E$7="Semana 2",'Semana 2'!X14,IF($E$7="Semana 3",'Semana 3'!X14,IF($E$7="Semana 4",'Semana 4'!X14,FALSE))))</f>
        <v/>
      </c>
      <c r="AT15" s="55" t="str">
        <f>IF($E$7="Semana 1",'Semana 1'!Y14,IF($E$7="Semana 2",'Semana 2'!Y14,IF($E$7="Semana 3",'Semana 3'!Y14,IF($E$7="Semana 4",'Semana 4'!Y14,FALSE))))</f>
        <v>0.0</v>
      </c>
      <c r="AU15" s="55" t="str">
        <f>IF($E$7="Semana 1",'Semana 1'!Z14,IF($E$7="Semana 2",'Semana 2'!Z14,IF($E$7="Semana 3",'Semana 3'!Z14,IF($E$7="Semana 4",'Semana 4'!Z14,FALSE))))</f>
        <v>-1.0</v>
      </c>
      <c r="AV15" s="55" t="str">
        <f>IF($E$7="Semana 1",'Semana 1'!AA14,IF($E$7="Semana 2",'Semana 2'!AA14,IF($E$7="Semana 3",'Semana 3'!AA14,IF($E$7="Semana 4",'Semana 4'!AA14,FALSE))))</f>
        <v>-1.0</v>
      </c>
      <c r="AW15" s="55" t="str">
        <f>IF($E$7="Semana 1",'Semana 1'!AB14,IF($E$7="Semana 2",'Semana 2'!AB14,IF($E$7="Semana 3",'Semana 3'!AB14,IF($E$7="Semana 4",'Semana 4'!AB14,FALSE))))</f>
        <v>-1.0</v>
      </c>
      <c r="AX15" s="55" t="str">
        <f>IF($E$7="Semana 1",'Semana 1'!AC14,IF($E$7="Semana 2",'Semana 2'!AC14,IF($E$7="Semana 3",'Semana 3'!AC14,IF($E$7="Semana 4",'Semana 4'!AC14,FALSE))))</f>
        <v>-1.0</v>
      </c>
      <c r="AY15" s="55" t="str">
        <f>IF($E$7="Semana 1",'Semana 1'!AD14,IF($E$7="Semana 2",'Semana 2'!AD14,IF($E$7="Semana 3",'Semana 3'!AD14,IF($E$7="Semana 4",'Semana 4'!AD14,FALSE))))</f>
        <v>-5.0</v>
      </c>
    </row>
    <row r="16">
      <c r="B16" s="183"/>
      <c r="E16" s="183"/>
      <c r="N16" s="183"/>
      <c r="Y16" s="179" t="str">
        <f t="shared" si="1"/>
        <v>10</v>
      </c>
      <c r="Z16" s="180" t="str">
        <f>IF($E$7="Semana 1",'Semana 1'!E15,IF($E$7="Semana 2",'Semana 2'!E15,IF($E$7="Semana 3",'Semana 3'!E15,IF($E$7="Semana 4",'Semana 4'!E15,FALSE))))</f>
        <v>Marcos Geovanny Coronado Giron</v>
      </c>
      <c r="AA16" s="180" t="str">
        <f>IF($E$7="Semana 1",'Semana 1'!F15,IF($E$7="Semana 2",'Semana 2'!F15,IF($E$7="Semana 3",'Semana 3'!F15,IF($E$7="Semana 4",'Semana 4'!F15,FALSE))))</f>
        <v>Semana 1</v>
      </c>
      <c r="AB16" s="180" t="str">
        <f>IF($E$7="Semana 1",'Semana 1'!G15,IF($E$7="Semana 2",'Semana 2'!G15,IF($E$7="Semana 3",'Semana 3'!G15,IF($E$7="Semana 4",'Semana 4'!G15,FALSE))))</f>
        <v>SOPORTE</v>
      </c>
      <c r="AC16" s="51" t="str">
        <f>IF($E$7="Semana 1",'Semana 1'!H15,IF($E$7="Semana 2",'Semana 2'!H15,IF($E$7="Semana 3",'Semana 3'!H15,IF($E$7="Semana 4",'Semana 4'!H15,FALSE))))</f>
        <v/>
      </c>
      <c r="AD16" s="51" t="str">
        <f>IF($E$7="Semana 1",'Semana 1'!I15,IF($E$7="Semana 2",'Semana 2'!I15,IF($E$7="Semana 3",'Semana 3'!I15,IF($E$7="Semana 4",'Semana 4'!I15,FALSE))))</f>
        <v> </v>
      </c>
      <c r="AE16" s="51" t="str">
        <f>IF($E$7="Semana 1",'Semana 1'!J15,IF($E$7="Semana 2",'Semana 2'!J15,IF($E$7="Semana 3",'Semana 3'!J15,IF($E$7="Semana 4",'Semana 4'!J15,FALSE))))</f>
        <v/>
      </c>
      <c r="AF16" s="51" t="str">
        <f>IF($E$7="Semana 1",'Semana 1'!K15,IF($E$7="Semana 2",'Semana 2'!K15,IF($E$7="Semana 3",'Semana 3'!K15,IF($E$7="Semana 4",'Semana 4'!K15,FALSE))))</f>
        <v> - </v>
      </c>
      <c r="AG16" s="51" t="str">
        <f>IF($E$7="Semana 1",'Semana 1'!L15,IF($E$7="Semana 2",'Semana 2'!L15,IF($E$7="Semana 3",'Semana 3'!L15,IF($E$7="Semana 4",'Semana 4'!L15,FALSE))))</f>
        <v/>
      </c>
      <c r="AH16" s="51" t="str">
        <f>IF($E$7="Semana 1",'Semana 1'!M15,IF($E$7="Semana 2",'Semana 2'!M15,IF($E$7="Semana 3",'Semana 3'!M15,IF($E$7="Semana 4",'Semana 4'!M15,FALSE))))</f>
        <v> - </v>
      </c>
      <c r="AI16" s="51" t="str">
        <f>IF($E$7="Semana 1",'Semana 1'!N15,IF($E$7="Semana 2",'Semana 2'!N15,IF($E$7="Semana 3",'Semana 3'!N15,IF($E$7="Semana 4",'Semana 4'!N15,FALSE))))</f>
        <v/>
      </c>
      <c r="AJ16" s="51" t="str">
        <f>IF($E$7="Semana 1",'Semana 1'!O15,IF($E$7="Semana 2",'Semana 2'!O15,IF($E$7="Semana 3",'Semana 3'!O15,IF($E$7="Semana 4",'Semana 4'!O15,FALSE))))</f>
        <v> - </v>
      </c>
      <c r="AK16" s="52" t="str">
        <f>IF($E$7="Semana 1",'Semana 1'!P15,IF($E$7="Semana 2",'Semana 2'!P15,IF($E$7="Semana 3",'Semana 3'!P15,IF($E$7="Semana 4",'Semana 4'!P15,FALSE))))</f>
        <v>-1.0</v>
      </c>
      <c r="AL16" s="51" t="str">
        <f>IF($E$7="Semana 1",'Semana 1'!Q15,IF($E$7="Semana 2",'Semana 2'!Q15,IF($E$7="Semana 3",'Semana 3'!Q15,IF($E$7="Semana 4",'Semana 4'!Q15,FALSE))))</f>
        <v/>
      </c>
      <c r="AM16" s="51" t="str">
        <f>IF($E$7="Semana 1",'Semana 1'!R15,IF($E$7="Semana 2",'Semana 2'!R15,IF($E$7="Semana 3",'Semana 3'!R15,IF($E$7="Semana 4",'Semana 4'!R15,FALSE))))</f>
        <v/>
      </c>
      <c r="AN16" s="53" t="str">
        <f>IF($E$7="Semana 1",'Semana 1'!S15,IF($E$7="Semana 2",'Semana 2'!S15,IF($E$7="Semana 3",'Semana 3'!S15,IF($E$7="Semana 4",'Semana 4'!S15,FALSE))))</f>
        <v/>
      </c>
      <c r="AO16" s="53" t="str">
        <f>IF($E$7="Semana 1",'Semana 1'!T15,IF($E$7="Semana 2",'Semana 2'!T15,IF($E$7="Semana 3",'Semana 3'!T15,IF($E$7="Semana 4",'Semana 4'!T15,FALSE))))</f>
        <v/>
      </c>
      <c r="AP16" s="51" t="str">
        <f>IF($E$7="Semana 1",'Semana 1'!U15,IF($E$7="Semana 2",'Semana 2'!U15,IF($E$7="Semana 3",'Semana 3'!U15,IF($E$7="Semana 4",'Semana 4'!U15,FALSE))))</f>
        <v/>
      </c>
      <c r="AQ16" s="51" t="str">
        <f>IF($E$7="Semana 1",'Semana 1'!V15,IF($E$7="Semana 2",'Semana 2'!V15,IF($E$7="Semana 3",'Semana 3'!V15,IF($E$7="Semana 4",'Semana 4'!V15,FALSE))))</f>
        <v/>
      </c>
      <c r="AR16" s="53" t="str">
        <f>IF($E$7="Semana 1",'Semana 1'!W15,IF($E$7="Semana 2",'Semana 2'!W15,IF($E$7="Semana 3",'Semana 3'!W15,IF($E$7="Semana 4",'Semana 4'!W15,FALSE))))</f>
        <v/>
      </c>
      <c r="AS16" s="53" t="str">
        <f>IF($E$7="Semana 1",'Semana 1'!X15,IF($E$7="Semana 2",'Semana 2'!X15,IF($E$7="Semana 3",'Semana 3'!X15,IF($E$7="Semana 4",'Semana 4'!X15,FALSE))))</f>
        <v/>
      </c>
      <c r="AT16" s="52" t="str">
        <f>IF($E$7="Semana 1",'Semana 1'!Y15,IF($E$7="Semana 2",'Semana 2'!Y15,IF($E$7="Semana 3",'Semana 3'!Y15,IF($E$7="Semana 4",'Semana 4'!Y15,FALSE))))</f>
        <v>0.0</v>
      </c>
      <c r="AU16" s="52" t="str">
        <f>IF($E$7="Semana 1",'Semana 1'!Z15,IF($E$7="Semana 2",'Semana 2'!Z15,IF($E$7="Semana 3",'Semana 3'!Z15,IF($E$7="Semana 4",'Semana 4'!Z15,FALSE))))</f>
        <v>-1.0</v>
      </c>
      <c r="AV16" s="52" t="str">
        <f>IF($E$7="Semana 1",'Semana 1'!AA15,IF($E$7="Semana 2",'Semana 2'!AA15,IF($E$7="Semana 3",'Semana 3'!AA15,IF($E$7="Semana 4",'Semana 4'!AA15,FALSE))))</f>
        <v>-1.0</v>
      </c>
      <c r="AW16" s="52" t="str">
        <f>IF($E$7="Semana 1",'Semana 1'!AB15,IF($E$7="Semana 2",'Semana 2'!AB15,IF($E$7="Semana 3",'Semana 3'!AB15,IF($E$7="Semana 4",'Semana 4'!AB15,FALSE))))</f>
        <v>-1.0</v>
      </c>
      <c r="AX16" s="52" t="str">
        <f>IF($E$7="Semana 1",'Semana 1'!AC15,IF($E$7="Semana 2",'Semana 2'!AC15,IF($E$7="Semana 3",'Semana 3'!AC15,IF($E$7="Semana 4",'Semana 4'!AC15,FALSE))))</f>
        <v>-1.0</v>
      </c>
      <c r="AY16" s="52" t="str">
        <f>IF($E$7="Semana 1",'Semana 1'!AD15,IF($E$7="Semana 2",'Semana 2'!AD15,IF($E$7="Semana 3",'Semana 3'!AD15,IF($E$7="Semana 4",'Semana 4'!AD15,FALSE))))</f>
        <v>-5.0</v>
      </c>
    </row>
    <row r="17">
      <c r="E17" s="183"/>
      <c r="N17" s="183"/>
      <c r="Y17" s="18" t="str">
        <f t="shared" si="1"/>
        <v>11</v>
      </c>
      <c r="Z17" s="19" t="str">
        <f>IF($E$7="Semana 1",'Semana 1'!E16,IF($E$7="Semana 2",'Semana 2'!E16,IF($E$7="Semana 3",'Semana 3'!E16,IF($E$7="Semana 4",'Semana 4'!E16,FALSE))))</f>
        <v>Anyely Eunice Florian Florian</v>
      </c>
      <c r="AA17" s="19" t="str">
        <f>IF($E$7="Semana 1",'Semana 1'!F16,IF($E$7="Semana 2",'Semana 2'!F16,IF($E$7="Semana 3",'Semana 3'!F16,IF($E$7="Semana 4",'Semana 4'!F16,FALSE))))</f>
        <v>Semana 1</v>
      </c>
      <c r="AB17" s="19" t="str">
        <f>IF($E$7="Semana 1",'Semana 1'!G16,IF($E$7="Semana 2",'Semana 2'!G16,IF($E$7="Semana 3",'Semana 3'!G16,IF($E$7="Semana 4",'Semana 4'!G16,FALSE))))</f>
        <v>SOPORTE</v>
      </c>
      <c r="AC17" s="54" t="str">
        <f>IF($E$7="Semana 1",'Semana 1'!H16,IF($E$7="Semana 2",'Semana 2'!H16,IF($E$7="Semana 3",'Semana 3'!H16,IF($E$7="Semana 4",'Semana 4'!H16,FALSE))))</f>
        <v/>
      </c>
      <c r="AD17" s="54" t="str">
        <f>IF($E$7="Semana 1",'Semana 1'!I16,IF($E$7="Semana 2",'Semana 2'!I16,IF($E$7="Semana 3",'Semana 3'!I16,IF($E$7="Semana 4",'Semana 4'!I16,FALSE))))</f>
        <v> </v>
      </c>
      <c r="AE17" s="54" t="str">
        <f>IF($E$7="Semana 1",'Semana 1'!J16,IF($E$7="Semana 2",'Semana 2'!J16,IF($E$7="Semana 3",'Semana 3'!J16,IF($E$7="Semana 4",'Semana 4'!J16,FALSE))))</f>
        <v/>
      </c>
      <c r="AF17" s="54" t="str">
        <f>IF($E$7="Semana 1",'Semana 1'!K16,IF($E$7="Semana 2",'Semana 2'!K16,IF($E$7="Semana 3",'Semana 3'!K16,IF($E$7="Semana 4",'Semana 4'!K16,FALSE))))</f>
        <v> - </v>
      </c>
      <c r="AG17" s="54" t="str">
        <f>IF($E$7="Semana 1",'Semana 1'!L16,IF($E$7="Semana 2",'Semana 2'!L16,IF($E$7="Semana 3",'Semana 3'!L16,IF($E$7="Semana 4",'Semana 4'!L16,FALSE))))</f>
        <v/>
      </c>
      <c r="AH17" s="54" t="str">
        <f>IF($E$7="Semana 1",'Semana 1'!M16,IF($E$7="Semana 2",'Semana 2'!M16,IF($E$7="Semana 3",'Semana 3'!M16,IF($E$7="Semana 4",'Semana 4'!M16,FALSE))))</f>
        <v> - </v>
      </c>
      <c r="AI17" s="54" t="str">
        <f>IF($E$7="Semana 1",'Semana 1'!N16,IF($E$7="Semana 2",'Semana 2'!N16,IF($E$7="Semana 3",'Semana 3'!N16,IF($E$7="Semana 4",'Semana 4'!N16,FALSE))))</f>
        <v/>
      </c>
      <c r="AJ17" s="54" t="str">
        <f>IF($E$7="Semana 1",'Semana 1'!O16,IF($E$7="Semana 2",'Semana 2'!O16,IF($E$7="Semana 3",'Semana 3'!O16,IF($E$7="Semana 4",'Semana 4'!O16,FALSE))))</f>
        <v> - </v>
      </c>
      <c r="AK17" s="55" t="str">
        <f>IF($E$7="Semana 1",'Semana 1'!P16,IF($E$7="Semana 2",'Semana 2'!P16,IF($E$7="Semana 3",'Semana 3'!P16,IF($E$7="Semana 4",'Semana 4'!P16,FALSE))))</f>
        <v>-1.0</v>
      </c>
      <c r="AL17" s="54" t="str">
        <f>IF($E$7="Semana 1",'Semana 1'!Q16,IF($E$7="Semana 2",'Semana 2'!Q16,IF($E$7="Semana 3",'Semana 3'!Q16,IF($E$7="Semana 4",'Semana 4'!Q16,FALSE))))</f>
        <v/>
      </c>
      <c r="AM17" s="54" t="str">
        <f>IF($E$7="Semana 1",'Semana 1'!R16,IF($E$7="Semana 2",'Semana 2'!R16,IF($E$7="Semana 3",'Semana 3'!R16,IF($E$7="Semana 4",'Semana 4'!R16,FALSE))))</f>
        <v/>
      </c>
      <c r="AN17" s="54" t="str">
        <f>IF($E$7="Semana 1",'Semana 1'!S16,IF($E$7="Semana 2",'Semana 2'!S16,IF($E$7="Semana 3",'Semana 3'!S16,IF($E$7="Semana 4",'Semana 4'!S16,FALSE))))</f>
        <v/>
      </c>
      <c r="AO17" s="54" t="str">
        <f>IF($E$7="Semana 1",'Semana 1'!T16,IF($E$7="Semana 2",'Semana 2'!T16,IF($E$7="Semana 3",'Semana 3'!T16,IF($E$7="Semana 4",'Semana 4'!T16,FALSE))))</f>
        <v/>
      </c>
      <c r="AP17" s="54" t="str">
        <f>IF($E$7="Semana 1",'Semana 1'!U16,IF($E$7="Semana 2",'Semana 2'!U16,IF($E$7="Semana 3",'Semana 3'!U16,IF($E$7="Semana 4",'Semana 4'!U16,FALSE))))</f>
        <v/>
      </c>
      <c r="AQ17" s="54" t="str">
        <f>IF($E$7="Semana 1",'Semana 1'!V16,IF($E$7="Semana 2",'Semana 2'!V16,IF($E$7="Semana 3",'Semana 3'!V16,IF($E$7="Semana 4",'Semana 4'!V16,FALSE))))</f>
        <v/>
      </c>
      <c r="AR17" s="54" t="str">
        <f>IF($E$7="Semana 1",'Semana 1'!W16,IF($E$7="Semana 2",'Semana 2'!W16,IF($E$7="Semana 3",'Semana 3'!W16,IF($E$7="Semana 4",'Semana 4'!W16,FALSE))))</f>
        <v/>
      </c>
      <c r="AS17" s="54" t="str">
        <f>IF($E$7="Semana 1",'Semana 1'!X16,IF($E$7="Semana 2",'Semana 2'!X16,IF($E$7="Semana 3",'Semana 3'!X16,IF($E$7="Semana 4",'Semana 4'!X16,FALSE))))</f>
        <v/>
      </c>
      <c r="AT17" s="55" t="str">
        <f>IF($E$7="Semana 1",'Semana 1'!Y16,IF($E$7="Semana 2",'Semana 2'!Y16,IF($E$7="Semana 3",'Semana 3'!Y16,IF($E$7="Semana 4",'Semana 4'!Y16,FALSE))))</f>
        <v>0.0</v>
      </c>
      <c r="AU17" s="55" t="str">
        <f>IF($E$7="Semana 1",'Semana 1'!Z16,IF($E$7="Semana 2",'Semana 2'!Z16,IF($E$7="Semana 3",'Semana 3'!Z16,IF($E$7="Semana 4",'Semana 4'!Z16,FALSE))))</f>
        <v>-1.0</v>
      </c>
      <c r="AV17" s="55" t="str">
        <f>IF($E$7="Semana 1",'Semana 1'!AA16,IF($E$7="Semana 2",'Semana 2'!AA16,IF($E$7="Semana 3",'Semana 3'!AA16,IF($E$7="Semana 4",'Semana 4'!AA16,FALSE))))</f>
        <v>-1.0</v>
      </c>
      <c r="AW17" s="55" t="str">
        <f>IF($E$7="Semana 1",'Semana 1'!AB16,IF($E$7="Semana 2",'Semana 2'!AB16,IF($E$7="Semana 3",'Semana 3'!AB16,IF($E$7="Semana 4",'Semana 4'!AB16,FALSE))))</f>
        <v>-1.0</v>
      </c>
      <c r="AX17" s="55" t="str">
        <f>IF($E$7="Semana 1",'Semana 1'!AC16,IF($E$7="Semana 2",'Semana 2'!AC16,IF($E$7="Semana 3",'Semana 3'!AC16,IF($E$7="Semana 4",'Semana 4'!AC16,FALSE))))</f>
        <v>-1.0</v>
      </c>
      <c r="AY17" s="55" t="str">
        <f>IF($E$7="Semana 1",'Semana 1'!AD16,IF($E$7="Semana 2",'Semana 2'!AD16,IF($E$7="Semana 3",'Semana 3'!AD16,IF($E$7="Semana 4",'Semana 4'!AD16,FALSE))))</f>
        <v>-5.0</v>
      </c>
    </row>
    <row r="18">
      <c r="E18" s="183"/>
      <c r="N18" s="183"/>
      <c r="Y18" s="179" t="str">
        <f t="shared" si="1"/>
        <v>12</v>
      </c>
      <c r="Z18" s="180" t="str">
        <f>IF($E$7="Semana 1",'Semana 1'!E17,IF($E$7="Semana 2",'Semana 2'!E17,IF($E$7="Semana 3",'Semana 3'!E17,IF($E$7="Semana 4",'Semana 4'!E17,FALSE))))</f>
        <v>Jennifer Alicia Boror Rodriguez</v>
      </c>
      <c r="AA18" s="180" t="str">
        <f>IF($E$7="Semana 1",'Semana 1'!F17,IF($E$7="Semana 2",'Semana 2'!F17,IF($E$7="Semana 3",'Semana 3'!F17,IF($E$7="Semana 4",'Semana 4'!F17,FALSE))))</f>
        <v>Semana 1</v>
      </c>
      <c r="AB18" s="180" t="str">
        <f>IF($E$7="Semana 1",'Semana 1'!G17,IF($E$7="Semana 2",'Semana 2'!G17,IF($E$7="Semana 3",'Semana 3'!G17,IF($E$7="Semana 4",'Semana 4'!G17,FALSE))))</f>
        <v>REDES</v>
      </c>
      <c r="AC18" s="51" t="str">
        <f>IF($E$7="Semana 1",'Semana 1'!H17,IF($E$7="Semana 2",'Semana 2'!H17,IF($E$7="Semana 3",'Semana 3'!H17,IF($E$7="Semana 4",'Semana 4'!H17,FALSE))))</f>
        <v>6:30</v>
      </c>
      <c r="AD18" s="51" t="str">
        <f>IF($E$7="Semana 1",'Semana 1'!I17,IF($E$7="Semana 2",'Semana 2'!I17,IF($E$7="Semana 3",'Semana 3'!I17,IF($E$7="Semana 4",'Semana 4'!I17,FALSE))))</f>
        <v>15:30</v>
      </c>
      <c r="AE18" s="51" t="str">
        <f>IF($E$7="Semana 1",'Semana 1'!J17,IF($E$7="Semana 2",'Semana 2'!J17,IF($E$7="Semana 3",'Semana 3'!J17,IF($E$7="Semana 4",'Semana 4'!J17,FALSE))))</f>
        <v>13:00</v>
      </c>
      <c r="AF18" s="51" t="str">
        <f>IF($E$7="Semana 1",'Semana 1'!K17,IF($E$7="Semana 2",'Semana 2'!K17,IF($E$7="Semana 3",'Semana 3'!K17,IF($E$7="Semana 4",'Semana 4'!K17,FALSE))))</f>
        <v>14:00</v>
      </c>
      <c r="AG18" s="51" t="str">
        <f>IF($E$7="Semana 1",'Semana 1'!L17,IF($E$7="Semana 2",'Semana 2'!L17,IF($E$7="Semana 3",'Semana 3'!L17,IF($E$7="Semana 4",'Semana 4'!L17,FALSE))))</f>
        <v>8:20</v>
      </c>
      <c r="AH18" s="51" t="str">
        <f>IF($E$7="Semana 1",'Semana 1'!M17,IF($E$7="Semana 2",'Semana 2'!M17,IF($E$7="Semana 3",'Semana 3'!M17,IF($E$7="Semana 4",'Semana 4'!M17,FALSE))))</f>
        <v>8:40</v>
      </c>
      <c r="AI18" s="51" t="str">
        <f>IF($E$7="Semana 1",'Semana 1'!N17,IF($E$7="Semana 2",'Semana 2'!N17,IF($E$7="Semana 3",'Semana 3'!N17,IF($E$7="Semana 4",'Semana 4'!N17,FALSE))))</f>
        <v>14:10</v>
      </c>
      <c r="AJ18" s="51" t="str">
        <f>IF($E$7="Semana 1",'Semana 1'!O17,IF($E$7="Semana 2",'Semana 2'!O17,IF($E$7="Semana 3",'Semana 3'!O17,IF($E$7="Semana 4",'Semana 4'!O17,FALSE))))</f>
        <v>14:20</v>
      </c>
      <c r="AK18" s="52" t="str">
        <f>IF($E$7="Semana 1",'Semana 1'!P17,IF($E$7="Semana 2",'Semana 2'!P17,IF($E$7="Semana 3",'Semana 3'!P17,IF($E$7="Semana 4",'Semana 4'!P17,FALSE))))</f>
        <v>8.0</v>
      </c>
      <c r="AL18" s="51" t="str">
        <f>IF($E$7="Semana 1",'Semana 1'!Q17,IF($E$7="Semana 2",'Semana 2'!Q17,IF($E$7="Semana 3",'Semana 3'!Q17,IF($E$7="Semana 4",'Semana 4'!Q17,FALSE))))</f>
        <v>6:30</v>
      </c>
      <c r="AM18" s="51" t="str">
        <f>IF($E$7="Semana 1",'Semana 1'!R17,IF($E$7="Semana 2",'Semana 2'!R17,IF($E$7="Semana 3",'Semana 3'!R17,IF($E$7="Semana 4",'Semana 4'!R17,FALSE))))</f>
        <v>11:30</v>
      </c>
      <c r="AN18" s="53" t="str">
        <f>IF($E$7="Semana 1",'Semana 1'!S17,IF($E$7="Semana 2",'Semana 2'!S17,IF($E$7="Semana 3",'Semana 3'!S17,IF($E$7="Semana 4",'Semana 4'!S17,FALSE))))</f>
        <v/>
      </c>
      <c r="AO18" s="53" t="str">
        <f>IF($E$7="Semana 1",'Semana 1'!T17,IF($E$7="Semana 2",'Semana 2'!T17,IF($E$7="Semana 3",'Semana 3'!T17,IF($E$7="Semana 4",'Semana 4'!T17,FALSE))))</f>
        <v/>
      </c>
      <c r="AP18" s="51" t="str">
        <f>IF($E$7="Semana 1",'Semana 1'!U17,IF($E$7="Semana 2",'Semana 2'!U17,IF($E$7="Semana 3",'Semana 3'!U17,IF($E$7="Semana 4",'Semana 4'!U17,FALSE))))</f>
        <v>7:30</v>
      </c>
      <c r="AQ18" s="51" t="str">
        <f>IF($E$7="Semana 1",'Semana 1'!V17,IF($E$7="Semana 2",'Semana 2'!V17,IF($E$7="Semana 3",'Semana 3'!V17,IF($E$7="Semana 4",'Semana 4'!V17,FALSE))))</f>
        <v>8:00</v>
      </c>
      <c r="AR18" s="53" t="str">
        <f>IF($E$7="Semana 1",'Semana 1'!W17,IF($E$7="Semana 2",'Semana 2'!W17,IF($E$7="Semana 3",'Semana 3'!W17,IF($E$7="Semana 4",'Semana 4'!W17,FALSE))))</f>
        <v/>
      </c>
      <c r="AS18" s="53" t="str">
        <f>IF($E$7="Semana 1",'Semana 1'!X17,IF($E$7="Semana 2",'Semana 2'!X17,IF($E$7="Semana 3",'Semana 3'!X17,IF($E$7="Semana 4",'Semana 4'!X17,FALSE))))</f>
        <v/>
      </c>
      <c r="AT18" s="52" t="str">
        <f>IF($E$7="Semana 1",'Semana 1'!Y17,IF($E$7="Semana 2",'Semana 2'!Y17,IF($E$7="Semana 3",'Semana 3'!Y17,IF($E$7="Semana 4",'Semana 4'!Y17,FALSE))))</f>
        <v>5.0</v>
      </c>
      <c r="AU18" s="52" t="str">
        <f>IF($E$7="Semana 1",'Semana 1'!Z17,IF($E$7="Semana 2",'Semana 2'!Z17,IF($E$7="Semana 3",'Semana 3'!Z17,IF($E$7="Semana 4",'Semana 4'!Z17,FALSE))))</f>
        <v>8.0</v>
      </c>
      <c r="AV18" s="52" t="str">
        <f>IF($E$7="Semana 1",'Semana 1'!AA17,IF($E$7="Semana 2",'Semana 2'!AA17,IF($E$7="Semana 3",'Semana 3'!AA17,IF($E$7="Semana 4",'Semana 4'!AA17,FALSE))))</f>
        <v>8.0</v>
      </c>
      <c r="AW18" s="52" t="str">
        <f>IF($E$7="Semana 1",'Semana 1'!AB17,IF($E$7="Semana 2",'Semana 2'!AB17,IF($E$7="Semana 3",'Semana 3'!AB17,IF($E$7="Semana 4",'Semana 4'!AB17,FALSE))))</f>
        <v>8.0</v>
      </c>
      <c r="AX18" s="52" t="str">
        <f>IF($E$7="Semana 1",'Semana 1'!AC17,IF($E$7="Semana 2",'Semana 2'!AC17,IF($E$7="Semana 3",'Semana 3'!AC17,IF($E$7="Semana 4",'Semana 4'!AC17,FALSE))))</f>
        <v>8.0</v>
      </c>
      <c r="AY18" s="52" t="str">
        <f>IF($E$7="Semana 1",'Semana 1'!AD17,IF($E$7="Semana 2",'Semana 2'!AD17,IF($E$7="Semana 3",'Semana 3'!AD17,IF($E$7="Semana 4",'Semana 4'!AD17,FALSE))))</f>
        <v>45.1</v>
      </c>
    </row>
    <row r="19">
      <c r="E19" s="183"/>
      <c r="N19" s="183"/>
      <c r="Y19" s="18" t="str">
        <f t="shared" si="1"/>
        <v>13</v>
      </c>
      <c r="Z19" s="19" t="str">
        <f>IF($E$7="Semana 1",'Semana 1'!E18,IF($E$7="Semana 2",'Semana 2'!E18,IF($E$7="Semana 3",'Semana 3'!E18,IF($E$7="Semana 4",'Semana 4'!E18,FALSE))))</f>
        <v>-</v>
      </c>
      <c r="AA19" s="19" t="str">
        <f>IF($E$7="Semana 1",'Semana 1'!F18,IF($E$7="Semana 2",'Semana 2'!F18,IF($E$7="Semana 3",'Semana 3'!F18,IF($E$7="Semana 4",'Semana 4'!F18,FALSE))))</f>
        <v>Semana 1</v>
      </c>
      <c r="AB19" s="19" t="str">
        <f>IF($E$7="Semana 1",'Semana 1'!G18,IF($E$7="Semana 2",'Semana 2'!G18,IF($E$7="Semana 3",'Semana 3'!G18,IF($E$7="Semana 4",'Semana 4'!G18,FALSE))))</f>
        <v>-</v>
      </c>
      <c r="AC19" s="54" t="str">
        <f>IF($E$7="Semana 1",'Semana 1'!H18,IF($E$7="Semana 2",'Semana 2'!H18,IF($E$7="Semana 3",'Semana 3'!H18,IF($E$7="Semana 4",'Semana 4'!H18,FALSE))))</f>
        <v/>
      </c>
      <c r="AD19" s="54" t="str">
        <f>IF($E$7="Semana 1",'Semana 1'!I18,IF($E$7="Semana 2",'Semana 2'!I18,IF($E$7="Semana 3",'Semana 3'!I18,IF($E$7="Semana 4",'Semana 4'!I18,FALSE))))</f>
        <v> </v>
      </c>
      <c r="AE19" s="54" t="str">
        <f>IF($E$7="Semana 1",'Semana 1'!J18,IF($E$7="Semana 2",'Semana 2'!J18,IF($E$7="Semana 3",'Semana 3'!J18,IF($E$7="Semana 4",'Semana 4'!J18,FALSE))))</f>
        <v/>
      </c>
      <c r="AF19" s="54" t="str">
        <f>IF($E$7="Semana 1",'Semana 1'!K18,IF($E$7="Semana 2",'Semana 2'!K18,IF($E$7="Semana 3",'Semana 3'!K18,IF($E$7="Semana 4",'Semana 4'!K18,FALSE))))</f>
        <v> - </v>
      </c>
      <c r="AG19" s="54" t="str">
        <f>IF($E$7="Semana 1",'Semana 1'!L18,IF($E$7="Semana 2",'Semana 2'!L18,IF($E$7="Semana 3",'Semana 3'!L18,IF($E$7="Semana 4",'Semana 4'!L18,FALSE))))</f>
        <v/>
      </c>
      <c r="AH19" s="54" t="str">
        <f>IF($E$7="Semana 1",'Semana 1'!M18,IF($E$7="Semana 2",'Semana 2'!M18,IF($E$7="Semana 3",'Semana 3'!M18,IF($E$7="Semana 4",'Semana 4'!M18,FALSE))))</f>
        <v> - </v>
      </c>
      <c r="AI19" s="54" t="str">
        <f>IF($E$7="Semana 1",'Semana 1'!N18,IF($E$7="Semana 2",'Semana 2'!N18,IF($E$7="Semana 3",'Semana 3'!N18,IF($E$7="Semana 4",'Semana 4'!N18,FALSE))))</f>
        <v/>
      </c>
      <c r="AJ19" s="54" t="str">
        <f>IF($E$7="Semana 1",'Semana 1'!O18,IF($E$7="Semana 2",'Semana 2'!O18,IF($E$7="Semana 3",'Semana 3'!O18,IF($E$7="Semana 4",'Semana 4'!O18,FALSE))))</f>
        <v> - </v>
      </c>
      <c r="AK19" s="55" t="str">
        <f>IF($E$7="Semana 1",'Semana 1'!P18,IF($E$7="Semana 2",'Semana 2'!P18,IF($E$7="Semana 3",'Semana 3'!P18,IF($E$7="Semana 4",'Semana 4'!P18,FALSE))))</f>
        <v>-1.0</v>
      </c>
      <c r="AL19" s="54" t="str">
        <f>IF($E$7="Semana 1",'Semana 1'!Q18,IF($E$7="Semana 2",'Semana 2'!Q18,IF($E$7="Semana 3",'Semana 3'!Q18,IF($E$7="Semana 4",'Semana 4'!Q18,FALSE))))</f>
        <v/>
      </c>
      <c r="AM19" s="54" t="str">
        <f>IF($E$7="Semana 1",'Semana 1'!R18,IF($E$7="Semana 2",'Semana 2'!R18,IF($E$7="Semana 3",'Semana 3'!R18,IF($E$7="Semana 4",'Semana 4'!R18,FALSE))))</f>
        <v/>
      </c>
      <c r="AN19" s="54" t="str">
        <f>IF($E$7="Semana 1",'Semana 1'!S18,IF($E$7="Semana 2",'Semana 2'!S18,IF($E$7="Semana 3",'Semana 3'!S18,IF($E$7="Semana 4",'Semana 4'!S18,FALSE))))</f>
        <v/>
      </c>
      <c r="AO19" s="54" t="str">
        <f>IF($E$7="Semana 1",'Semana 1'!T18,IF($E$7="Semana 2",'Semana 2'!T18,IF($E$7="Semana 3",'Semana 3'!T18,IF($E$7="Semana 4",'Semana 4'!T18,FALSE))))</f>
        <v/>
      </c>
      <c r="AP19" s="54" t="str">
        <f>IF($E$7="Semana 1",'Semana 1'!U18,IF($E$7="Semana 2",'Semana 2'!U18,IF($E$7="Semana 3",'Semana 3'!U18,IF($E$7="Semana 4",'Semana 4'!U18,FALSE))))</f>
        <v/>
      </c>
      <c r="AQ19" s="54" t="str">
        <f>IF($E$7="Semana 1",'Semana 1'!V18,IF($E$7="Semana 2",'Semana 2'!V18,IF($E$7="Semana 3",'Semana 3'!V18,IF($E$7="Semana 4",'Semana 4'!V18,FALSE))))</f>
        <v/>
      </c>
      <c r="AR19" s="54" t="str">
        <f>IF($E$7="Semana 1",'Semana 1'!W18,IF($E$7="Semana 2",'Semana 2'!W18,IF($E$7="Semana 3",'Semana 3'!W18,IF($E$7="Semana 4",'Semana 4'!W18,FALSE))))</f>
        <v/>
      </c>
      <c r="AS19" s="54" t="str">
        <f>IF($E$7="Semana 1",'Semana 1'!X18,IF($E$7="Semana 2",'Semana 2'!X18,IF($E$7="Semana 3",'Semana 3'!X18,IF($E$7="Semana 4",'Semana 4'!X18,FALSE))))</f>
        <v/>
      </c>
      <c r="AT19" s="55" t="str">
        <f>IF($E$7="Semana 1",'Semana 1'!Y18,IF($E$7="Semana 2",'Semana 2'!Y18,IF($E$7="Semana 3",'Semana 3'!Y18,IF($E$7="Semana 4",'Semana 4'!Y18,FALSE))))</f>
        <v>0.0</v>
      </c>
      <c r="AU19" s="55" t="str">
        <f>IF($E$7="Semana 1",'Semana 1'!Z18,IF($E$7="Semana 2",'Semana 2'!Z18,IF($E$7="Semana 3",'Semana 3'!Z18,IF($E$7="Semana 4",'Semana 4'!Z18,FALSE))))</f>
        <v>-1.0</v>
      </c>
      <c r="AV19" s="55" t="str">
        <f>IF($E$7="Semana 1",'Semana 1'!AA18,IF($E$7="Semana 2",'Semana 2'!AA18,IF($E$7="Semana 3",'Semana 3'!AA18,IF($E$7="Semana 4",'Semana 4'!AA18,FALSE))))</f>
        <v>-1.0</v>
      </c>
      <c r="AW19" s="55" t="str">
        <f>IF($E$7="Semana 1",'Semana 1'!AB18,IF($E$7="Semana 2",'Semana 2'!AB18,IF($E$7="Semana 3",'Semana 3'!AB18,IF($E$7="Semana 4",'Semana 4'!AB18,FALSE))))</f>
        <v>-1.0</v>
      </c>
      <c r="AX19" s="55" t="str">
        <f>IF($E$7="Semana 1",'Semana 1'!AC18,IF($E$7="Semana 2",'Semana 2'!AC18,IF($E$7="Semana 3",'Semana 3'!AC18,IF($E$7="Semana 4",'Semana 4'!AC18,FALSE))))</f>
        <v>-1.0</v>
      </c>
      <c r="AY19" s="55" t="str">
        <f>IF($E$7="Semana 1",'Semana 1'!AD18,IF($E$7="Semana 2",'Semana 2'!AD18,IF($E$7="Semana 3",'Semana 3'!AD18,IF($E$7="Semana 4",'Semana 4'!AD18,FALSE))))</f>
        <v>-5.0</v>
      </c>
    </row>
    <row r="20">
      <c r="E20" s="183"/>
      <c r="N20" s="183"/>
      <c r="Y20" s="179" t="str">
        <f t="shared" si="1"/>
        <v>14</v>
      </c>
      <c r="Z20" s="180" t="str">
        <f>IF($E$7="Semana 1",'Semana 1'!E19,IF($E$7="Semana 2",'Semana 2'!E19,IF($E$7="Semana 3",'Semana 3'!E19,IF($E$7="Semana 4",'Semana 4'!E19,FALSE))))</f>
        <v>Juan José Puluc Chaicoj</v>
      </c>
      <c r="AA20" s="180" t="str">
        <f>IF($E$7="Semana 1",'Semana 1'!F19,IF($E$7="Semana 2",'Semana 2'!F19,IF($E$7="Semana 3",'Semana 3'!F19,IF($E$7="Semana 4",'Semana 4'!F19,FALSE))))</f>
        <v>Semana 1</v>
      </c>
      <c r="AB20" s="180" t="str">
        <f>IF($E$7="Semana 1",'Semana 1'!G19,IF($E$7="Semana 2",'Semana 2'!G19,IF($E$7="Semana 3",'Semana 3'!G19,IF($E$7="Semana 4",'Semana 4'!G19,FALSE))))</f>
        <v>SOPORTE</v>
      </c>
      <c r="AC20" s="51" t="str">
        <f>IF($E$7="Semana 1",'Semana 1'!H19,IF($E$7="Semana 2",'Semana 2'!H19,IF($E$7="Semana 3",'Semana 3'!H19,IF($E$7="Semana 4",'Semana 4'!H19,FALSE))))</f>
        <v/>
      </c>
      <c r="AD20" s="51" t="str">
        <f>IF($E$7="Semana 1",'Semana 1'!I19,IF($E$7="Semana 2",'Semana 2'!I19,IF($E$7="Semana 3",'Semana 3'!I19,IF($E$7="Semana 4",'Semana 4'!I19,FALSE))))</f>
        <v> </v>
      </c>
      <c r="AE20" s="51" t="str">
        <f>IF($E$7="Semana 1",'Semana 1'!J19,IF($E$7="Semana 2",'Semana 2'!J19,IF($E$7="Semana 3",'Semana 3'!J19,IF($E$7="Semana 4",'Semana 4'!J19,FALSE))))</f>
        <v/>
      </c>
      <c r="AF20" s="51" t="str">
        <f>IF($E$7="Semana 1",'Semana 1'!K19,IF($E$7="Semana 2",'Semana 2'!K19,IF($E$7="Semana 3",'Semana 3'!K19,IF($E$7="Semana 4",'Semana 4'!K19,FALSE))))</f>
        <v> - </v>
      </c>
      <c r="AG20" s="51" t="str">
        <f>IF($E$7="Semana 1",'Semana 1'!L19,IF($E$7="Semana 2",'Semana 2'!L19,IF($E$7="Semana 3",'Semana 3'!L19,IF($E$7="Semana 4",'Semana 4'!L19,FALSE))))</f>
        <v/>
      </c>
      <c r="AH20" s="51" t="str">
        <f>IF($E$7="Semana 1",'Semana 1'!M19,IF($E$7="Semana 2",'Semana 2'!M19,IF($E$7="Semana 3",'Semana 3'!M19,IF($E$7="Semana 4",'Semana 4'!M19,FALSE))))</f>
        <v> - </v>
      </c>
      <c r="AI20" s="51" t="str">
        <f>IF($E$7="Semana 1",'Semana 1'!N19,IF($E$7="Semana 2",'Semana 2'!N19,IF($E$7="Semana 3",'Semana 3'!N19,IF($E$7="Semana 4",'Semana 4'!N19,FALSE))))</f>
        <v/>
      </c>
      <c r="AJ20" s="51" t="str">
        <f>IF($E$7="Semana 1",'Semana 1'!O19,IF($E$7="Semana 2",'Semana 2'!O19,IF($E$7="Semana 3",'Semana 3'!O19,IF($E$7="Semana 4",'Semana 4'!O19,FALSE))))</f>
        <v> - </v>
      </c>
      <c r="AK20" s="52" t="str">
        <f>IF($E$7="Semana 1",'Semana 1'!P19,IF($E$7="Semana 2",'Semana 2'!P19,IF($E$7="Semana 3",'Semana 3'!P19,IF($E$7="Semana 4",'Semana 4'!P19,FALSE))))</f>
        <v>-1.0</v>
      </c>
      <c r="AL20" s="51" t="str">
        <f>IF($E$7="Semana 1",'Semana 1'!Q19,IF($E$7="Semana 2",'Semana 2'!Q19,IF($E$7="Semana 3",'Semana 3'!Q19,IF($E$7="Semana 4",'Semana 4'!Q19,FALSE))))</f>
        <v/>
      </c>
      <c r="AM20" s="51" t="str">
        <f>IF($E$7="Semana 1",'Semana 1'!R19,IF($E$7="Semana 2",'Semana 2'!R19,IF($E$7="Semana 3",'Semana 3'!R19,IF($E$7="Semana 4",'Semana 4'!R19,FALSE))))</f>
        <v/>
      </c>
      <c r="AN20" s="53" t="str">
        <f>IF($E$7="Semana 1",'Semana 1'!S19,IF($E$7="Semana 2",'Semana 2'!S19,IF($E$7="Semana 3",'Semana 3'!S19,IF($E$7="Semana 4",'Semana 4'!S19,FALSE))))</f>
        <v/>
      </c>
      <c r="AO20" s="53" t="str">
        <f>IF($E$7="Semana 1",'Semana 1'!T19,IF($E$7="Semana 2",'Semana 2'!T19,IF($E$7="Semana 3",'Semana 3'!T19,IF($E$7="Semana 4",'Semana 4'!T19,FALSE))))</f>
        <v/>
      </c>
      <c r="AP20" s="51" t="str">
        <f>IF($E$7="Semana 1",'Semana 1'!U19,IF($E$7="Semana 2",'Semana 2'!U19,IF($E$7="Semana 3",'Semana 3'!U19,IF($E$7="Semana 4",'Semana 4'!U19,FALSE))))</f>
        <v/>
      </c>
      <c r="AQ20" s="51" t="str">
        <f>IF($E$7="Semana 1",'Semana 1'!V19,IF($E$7="Semana 2",'Semana 2'!V19,IF($E$7="Semana 3",'Semana 3'!V19,IF($E$7="Semana 4",'Semana 4'!V19,FALSE))))</f>
        <v/>
      </c>
      <c r="AR20" s="53" t="str">
        <f>IF($E$7="Semana 1",'Semana 1'!W19,IF($E$7="Semana 2",'Semana 2'!W19,IF($E$7="Semana 3",'Semana 3'!W19,IF($E$7="Semana 4",'Semana 4'!W19,FALSE))))</f>
        <v/>
      </c>
      <c r="AS20" s="53" t="str">
        <f>IF($E$7="Semana 1",'Semana 1'!X19,IF($E$7="Semana 2",'Semana 2'!X19,IF($E$7="Semana 3",'Semana 3'!X19,IF($E$7="Semana 4",'Semana 4'!X19,FALSE))))</f>
        <v/>
      </c>
      <c r="AT20" s="52" t="str">
        <f>IF($E$7="Semana 1",'Semana 1'!Y19,IF($E$7="Semana 2",'Semana 2'!Y19,IF($E$7="Semana 3",'Semana 3'!Y19,IF($E$7="Semana 4",'Semana 4'!Y19,FALSE))))</f>
        <v>0.0</v>
      </c>
      <c r="AU20" s="52" t="str">
        <f>IF($E$7="Semana 1",'Semana 1'!Z19,IF($E$7="Semana 2",'Semana 2'!Z19,IF($E$7="Semana 3",'Semana 3'!Z19,IF($E$7="Semana 4",'Semana 4'!Z19,FALSE))))</f>
        <v>-1.0</v>
      </c>
      <c r="AV20" s="52" t="str">
        <f>IF($E$7="Semana 1",'Semana 1'!AA19,IF($E$7="Semana 2",'Semana 2'!AA19,IF($E$7="Semana 3",'Semana 3'!AA19,IF($E$7="Semana 4",'Semana 4'!AA19,FALSE))))</f>
        <v>-1.0</v>
      </c>
      <c r="AW20" s="52" t="str">
        <f>IF($E$7="Semana 1",'Semana 1'!AB19,IF($E$7="Semana 2",'Semana 2'!AB19,IF($E$7="Semana 3",'Semana 3'!AB19,IF($E$7="Semana 4",'Semana 4'!AB19,FALSE))))</f>
        <v>-1.0</v>
      </c>
      <c r="AX20" s="52" t="str">
        <f>IF($E$7="Semana 1",'Semana 1'!AC19,IF($E$7="Semana 2",'Semana 2'!AC19,IF($E$7="Semana 3",'Semana 3'!AC19,IF($E$7="Semana 4",'Semana 4'!AC19,FALSE))))</f>
        <v>-1.0</v>
      </c>
      <c r="AY20" s="52" t="str">
        <f>IF($E$7="Semana 1",'Semana 1'!AD19,IF($E$7="Semana 2",'Semana 2'!AD19,IF($E$7="Semana 3",'Semana 3'!AD19,IF($E$7="Semana 4",'Semana 4'!AD19,FALSE))))</f>
        <v>-5.0</v>
      </c>
    </row>
    <row r="21" ht="15.75" customHeight="1">
      <c r="E21" s="183"/>
      <c r="N21" s="183"/>
      <c r="Y21" s="18" t="str">
        <f t="shared" si="1"/>
        <v>15</v>
      </c>
      <c r="Z21" s="19" t="str">
        <f>IF($E$7="Semana 1",'Semana 1'!E20,IF($E$7="Semana 2",'Semana 2'!E20,IF($E$7="Semana 3",'Semana 3'!E20,IF($E$7="Semana 4",'Semana 4'!E20,FALSE))))</f>
        <v>Lydicen Anabelly Navarijo Padilla</v>
      </c>
      <c r="AA21" s="19" t="str">
        <f>IF($E$7="Semana 1",'Semana 1'!F20,IF($E$7="Semana 2",'Semana 2'!F20,IF($E$7="Semana 3",'Semana 3'!F20,IF($E$7="Semana 4",'Semana 4'!F20,FALSE))))</f>
        <v>Semana 1</v>
      </c>
      <c r="AB21" s="19" t="str">
        <f>IF($E$7="Semana 1",'Semana 1'!G20,IF($E$7="Semana 2",'Semana 2'!G20,IF($E$7="Semana 3",'Semana 3'!G20,IF($E$7="Semana 4",'Semana 4'!G20,FALSE))))</f>
        <v>AGENTE RM</v>
      </c>
      <c r="AC21" s="54" t="str">
        <f>IF($E$7="Semana 1",'Semana 1'!H20,IF($E$7="Semana 2",'Semana 2'!H20,IF($E$7="Semana 3",'Semana 3'!H20,IF($E$7="Semana 4",'Semana 4'!H20,FALSE))))</f>
        <v>9:00</v>
      </c>
      <c r="AD21" s="54" t="str">
        <f>IF($E$7="Semana 1",'Semana 1'!I20,IF($E$7="Semana 2",'Semana 2'!I20,IF($E$7="Semana 3",'Semana 3'!I20,IF($E$7="Semana 4",'Semana 4'!I20,FALSE))))</f>
        <v>18:00</v>
      </c>
      <c r="AE21" s="54" t="str">
        <f>IF($E$7="Semana 1",'Semana 1'!J20,IF($E$7="Semana 2",'Semana 2'!J20,IF($E$7="Semana 3",'Semana 3'!J20,IF($E$7="Semana 4",'Semana 4'!J20,FALSE))))</f>
        <v>14:00</v>
      </c>
      <c r="AF21" s="54" t="str">
        <f>IF($E$7="Semana 1",'Semana 1'!K20,IF($E$7="Semana 2",'Semana 2'!K20,IF($E$7="Semana 3",'Semana 3'!K20,IF($E$7="Semana 4",'Semana 4'!K20,FALSE))))</f>
        <v>15:00</v>
      </c>
      <c r="AG21" s="54" t="str">
        <f>IF($E$7="Semana 1",'Semana 1'!L20,IF($E$7="Semana 2",'Semana 2'!L20,IF($E$7="Semana 3",'Semana 3'!L20,IF($E$7="Semana 4",'Semana 4'!L20,FALSE))))</f>
        <v>9:30</v>
      </c>
      <c r="AH21" s="54" t="str">
        <f>IF($E$7="Semana 1",'Semana 1'!M20,IF($E$7="Semana 2",'Semana 2'!M20,IF($E$7="Semana 3",'Semana 3'!M20,IF($E$7="Semana 4",'Semana 4'!M20,FALSE))))</f>
        <v>9:50</v>
      </c>
      <c r="AI21" s="54" t="str">
        <f>IF($E$7="Semana 1",'Semana 1'!N20,IF($E$7="Semana 2",'Semana 2'!N20,IF($E$7="Semana 3",'Semana 3'!N20,IF($E$7="Semana 4",'Semana 4'!N20,FALSE))))</f>
        <v>16:00</v>
      </c>
      <c r="AJ21" s="54" t="str">
        <f>IF($E$7="Semana 1",'Semana 1'!O20,IF($E$7="Semana 2",'Semana 2'!O20,IF($E$7="Semana 3",'Semana 3'!O20,IF($E$7="Semana 4",'Semana 4'!O20,FALSE))))</f>
        <v>16:10</v>
      </c>
      <c r="AK21" s="55" t="str">
        <f>IF($E$7="Semana 1",'Semana 1'!P20,IF($E$7="Semana 2",'Semana 2'!P20,IF($E$7="Semana 3",'Semana 3'!P20,IF($E$7="Semana 4",'Semana 4'!P20,FALSE))))</f>
        <v>8.0</v>
      </c>
      <c r="AL21" s="54" t="str">
        <f>IF($E$7="Semana 1",'Semana 1'!Q20,IF($E$7="Semana 2",'Semana 2'!Q20,IF($E$7="Semana 3",'Semana 3'!Q20,IF($E$7="Semana 4",'Semana 4'!Q20,FALSE))))</f>
        <v>10:00</v>
      </c>
      <c r="AM21" s="54" t="str">
        <f>IF($E$7="Semana 1",'Semana 1'!R20,IF($E$7="Semana 2",'Semana 2'!R20,IF($E$7="Semana 3",'Semana 3'!R20,IF($E$7="Semana 4",'Semana 4'!R20,FALSE))))</f>
        <v>15:00</v>
      </c>
      <c r="AN21" s="56" t="str">
        <f>IF($E$7="Semana 1",'Semana 1'!S20,IF($E$7="Semana 2",'Semana 2'!S20,IF($E$7="Semana 3",'Semana 3'!S20,IF($E$7="Semana 4",'Semana 4'!S20,FALSE))))</f>
        <v/>
      </c>
      <c r="AO21" s="56" t="str">
        <f>IF($E$7="Semana 1",'Semana 1'!T20,IF($E$7="Semana 2",'Semana 2'!T20,IF($E$7="Semana 3",'Semana 3'!T20,IF($E$7="Semana 4",'Semana 4'!T20,FALSE))))</f>
        <v/>
      </c>
      <c r="AP21" s="54" t="str">
        <f>IF($E$7="Semana 1",'Semana 1'!U20,IF($E$7="Semana 2",'Semana 2'!U20,IF($E$7="Semana 3",'Semana 3'!U20,IF($E$7="Semana 4",'Semana 4'!U20,FALSE))))</f>
        <v>10:30</v>
      </c>
      <c r="AQ21" s="54" t="str">
        <f>IF($E$7="Semana 1",'Semana 1'!V20,IF($E$7="Semana 2",'Semana 2'!V20,IF($E$7="Semana 3",'Semana 3'!V20,IF($E$7="Semana 4",'Semana 4'!V20,FALSE))))</f>
        <v>11:00</v>
      </c>
      <c r="AR21" s="56" t="str">
        <f>IF($E$7="Semana 1",'Semana 1'!W20,IF($E$7="Semana 2",'Semana 2'!W20,IF($E$7="Semana 3",'Semana 3'!W20,IF($E$7="Semana 4",'Semana 4'!W20,FALSE))))</f>
        <v/>
      </c>
      <c r="AS21" s="56" t="str">
        <f>IF($E$7="Semana 1",'Semana 1'!X20,IF($E$7="Semana 2",'Semana 2'!X20,IF($E$7="Semana 3",'Semana 3'!X20,IF($E$7="Semana 4",'Semana 4'!X20,FALSE))))</f>
        <v/>
      </c>
      <c r="AT21" s="55" t="str">
        <f>IF($E$7="Semana 1",'Semana 1'!Y20,IF($E$7="Semana 2",'Semana 2'!Y20,IF($E$7="Semana 3",'Semana 3'!Y20,IF($E$7="Semana 4",'Semana 4'!Y20,FALSE))))</f>
        <v>5.0</v>
      </c>
      <c r="AU21" s="55" t="str">
        <f>IF($E$7="Semana 1",'Semana 1'!Z20,IF($E$7="Semana 2",'Semana 2'!Z20,IF($E$7="Semana 3",'Semana 3'!Z20,IF($E$7="Semana 4",'Semana 4'!Z20,FALSE))))</f>
        <v>8.0</v>
      </c>
      <c r="AV21" s="55" t="str">
        <f>IF($E$7="Semana 1",'Semana 1'!AA20,IF($E$7="Semana 2",'Semana 2'!AA20,IF($E$7="Semana 3",'Semana 3'!AA20,IF($E$7="Semana 4",'Semana 4'!AA20,FALSE))))</f>
        <v>8.0</v>
      </c>
      <c r="AW21" s="55" t="str">
        <f>IF($E$7="Semana 1",'Semana 1'!AB20,IF($E$7="Semana 2",'Semana 2'!AB20,IF($E$7="Semana 3",'Semana 3'!AB20,IF($E$7="Semana 4",'Semana 4'!AB20,FALSE))))</f>
        <v>8.0</v>
      </c>
      <c r="AX21" s="55" t="str">
        <f>IF($E$7="Semana 1",'Semana 1'!AC20,IF($E$7="Semana 2",'Semana 2'!AC20,IF($E$7="Semana 3",'Semana 3'!AC20,IF($E$7="Semana 4",'Semana 4'!AC20,FALSE))))</f>
        <v>8.0</v>
      </c>
      <c r="AY21" s="55" t="str">
        <f>IF($E$7="Semana 1",'Semana 1'!AD20,IF($E$7="Semana 2",'Semana 2'!AD20,IF($E$7="Semana 3",'Semana 3'!AD20,IF($E$7="Semana 4",'Semana 4'!AD20,FALSE))))</f>
        <v>45.1</v>
      </c>
    </row>
    <row r="22" ht="15.75" customHeight="1">
      <c r="E22" s="183"/>
      <c r="N22" s="183"/>
      <c r="Y22" s="179" t="str">
        <f t="shared" si="1"/>
        <v>16</v>
      </c>
      <c r="Z22" s="180" t="str">
        <f>IF($E$7="Semana 1",'Semana 1'!E21,IF($E$7="Semana 2",'Semana 2'!E21,IF($E$7="Semana 3",'Semana 3'!E21,IF($E$7="Semana 4",'Semana 4'!E21,FALSE))))</f>
        <v>Cindy Melissa Aroche Ortiz</v>
      </c>
      <c r="AA22" s="180" t="str">
        <f>IF($E$7="Semana 1",'Semana 1'!F21,IF($E$7="Semana 2",'Semana 2'!F21,IF($E$7="Semana 3",'Semana 3'!F21,IF($E$7="Semana 4",'Semana 4'!F21,FALSE))))</f>
        <v>Semana 1</v>
      </c>
      <c r="AB22" s="180" t="str">
        <f>IF($E$7="Semana 1",'Semana 1'!G21,IF($E$7="Semana 2",'Semana 2'!G21,IF($E$7="Semana 3",'Semana 3'!G21,IF($E$7="Semana 4",'Semana 4'!G21,FALSE))))</f>
        <v>CONTROL</v>
      </c>
      <c r="AC22" s="51" t="str">
        <f>IF($E$7="Semana 1",'Semana 1'!H21,IF($E$7="Semana 2",'Semana 2'!H21,IF($E$7="Semana 3",'Semana 3'!H21,IF($E$7="Semana 4",'Semana 4'!H21,FALSE))))</f>
        <v/>
      </c>
      <c r="AD22" s="51" t="str">
        <f>IF($E$7="Semana 1",'Semana 1'!I21,IF($E$7="Semana 2",'Semana 2'!I21,IF($E$7="Semana 3",'Semana 3'!I21,IF($E$7="Semana 4",'Semana 4'!I21,FALSE))))</f>
        <v> </v>
      </c>
      <c r="AE22" s="51" t="str">
        <f>IF($E$7="Semana 1",'Semana 1'!J21,IF($E$7="Semana 2",'Semana 2'!J21,IF($E$7="Semana 3",'Semana 3'!J21,IF($E$7="Semana 4",'Semana 4'!J21,FALSE))))</f>
        <v/>
      </c>
      <c r="AF22" s="51" t="str">
        <f>IF($E$7="Semana 1",'Semana 1'!K21,IF($E$7="Semana 2",'Semana 2'!K21,IF($E$7="Semana 3",'Semana 3'!K21,IF($E$7="Semana 4",'Semana 4'!K21,FALSE))))</f>
        <v> - </v>
      </c>
      <c r="AG22" s="51" t="str">
        <f>IF($E$7="Semana 1",'Semana 1'!L21,IF($E$7="Semana 2",'Semana 2'!L21,IF($E$7="Semana 3",'Semana 3'!L21,IF($E$7="Semana 4",'Semana 4'!L21,FALSE))))</f>
        <v/>
      </c>
      <c r="AH22" s="51" t="str">
        <f>IF($E$7="Semana 1",'Semana 1'!M21,IF($E$7="Semana 2",'Semana 2'!M21,IF($E$7="Semana 3",'Semana 3'!M21,IF($E$7="Semana 4",'Semana 4'!M21,FALSE))))</f>
        <v> - </v>
      </c>
      <c r="AI22" s="51" t="str">
        <f>IF($E$7="Semana 1",'Semana 1'!N21,IF($E$7="Semana 2",'Semana 2'!N21,IF($E$7="Semana 3",'Semana 3'!N21,IF($E$7="Semana 4",'Semana 4'!N21,FALSE))))</f>
        <v/>
      </c>
      <c r="AJ22" s="51" t="str">
        <f>IF($E$7="Semana 1",'Semana 1'!O21,IF($E$7="Semana 2",'Semana 2'!O21,IF($E$7="Semana 3",'Semana 3'!O21,IF($E$7="Semana 4",'Semana 4'!O21,FALSE))))</f>
        <v> - </v>
      </c>
      <c r="AK22" s="52" t="str">
        <f>IF($E$7="Semana 1",'Semana 1'!P21,IF($E$7="Semana 2",'Semana 2'!P21,IF($E$7="Semana 3",'Semana 3'!P21,IF($E$7="Semana 4",'Semana 4'!P21,FALSE))))</f>
        <v>-1.0</v>
      </c>
      <c r="AL22" s="51" t="str">
        <f>IF($E$7="Semana 1",'Semana 1'!Q21,IF($E$7="Semana 2",'Semana 2'!Q21,IF($E$7="Semana 3",'Semana 3'!Q21,IF($E$7="Semana 4",'Semana 4'!Q21,FALSE))))</f>
        <v/>
      </c>
      <c r="AM22" s="51" t="str">
        <f>IF($E$7="Semana 1",'Semana 1'!R21,IF($E$7="Semana 2",'Semana 2'!R21,IF($E$7="Semana 3",'Semana 3'!R21,IF($E$7="Semana 4",'Semana 4'!R21,FALSE))))</f>
        <v/>
      </c>
      <c r="AN22" s="53" t="str">
        <f>IF($E$7="Semana 1",'Semana 1'!S21,IF($E$7="Semana 2",'Semana 2'!S21,IF($E$7="Semana 3",'Semana 3'!S21,IF($E$7="Semana 4",'Semana 4'!S21,FALSE))))</f>
        <v/>
      </c>
      <c r="AO22" s="53" t="str">
        <f>IF($E$7="Semana 1",'Semana 1'!T21,IF($E$7="Semana 2",'Semana 2'!T21,IF($E$7="Semana 3",'Semana 3'!T21,IF($E$7="Semana 4",'Semana 4'!T21,FALSE))))</f>
        <v/>
      </c>
      <c r="AP22" s="51" t="str">
        <f>IF($E$7="Semana 1",'Semana 1'!U21,IF($E$7="Semana 2",'Semana 2'!U21,IF($E$7="Semana 3",'Semana 3'!U21,IF($E$7="Semana 4",'Semana 4'!U21,FALSE))))</f>
        <v/>
      </c>
      <c r="AQ22" s="51" t="str">
        <f>IF($E$7="Semana 1",'Semana 1'!V21,IF($E$7="Semana 2",'Semana 2'!V21,IF($E$7="Semana 3",'Semana 3'!V21,IF($E$7="Semana 4",'Semana 4'!V21,FALSE))))</f>
        <v/>
      </c>
      <c r="AR22" s="53" t="str">
        <f>IF($E$7="Semana 1",'Semana 1'!W21,IF($E$7="Semana 2",'Semana 2'!W21,IF($E$7="Semana 3",'Semana 3'!W21,IF($E$7="Semana 4",'Semana 4'!W21,FALSE))))</f>
        <v/>
      </c>
      <c r="AS22" s="53" t="str">
        <f>IF($E$7="Semana 1",'Semana 1'!X21,IF($E$7="Semana 2",'Semana 2'!X21,IF($E$7="Semana 3",'Semana 3'!X21,IF($E$7="Semana 4",'Semana 4'!X21,FALSE))))</f>
        <v/>
      </c>
      <c r="AT22" s="52" t="str">
        <f>IF($E$7="Semana 1",'Semana 1'!Y21,IF($E$7="Semana 2",'Semana 2'!Y21,IF($E$7="Semana 3",'Semana 3'!Y21,IF($E$7="Semana 4",'Semana 4'!Y21,FALSE))))</f>
        <v>0.0</v>
      </c>
      <c r="AU22" s="52" t="str">
        <f>IF($E$7="Semana 1",'Semana 1'!Z21,IF($E$7="Semana 2",'Semana 2'!Z21,IF($E$7="Semana 3",'Semana 3'!Z21,IF($E$7="Semana 4",'Semana 4'!Z21,FALSE))))</f>
        <v>-1.0</v>
      </c>
      <c r="AV22" s="52" t="str">
        <f>IF($E$7="Semana 1",'Semana 1'!AA21,IF($E$7="Semana 2",'Semana 2'!AA21,IF($E$7="Semana 3",'Semana 3'!AA21,IF($E$7="Semana 4",'Semana 4'!AA21,FALSE))))</f>
        <v>-1.0</v>
      </c>
      <c r="AW22" s="52" t="str">
        <f>IF($E$7="Semana 1",'Semana 1'!AB21,IF($E$7="Semana 2",'Semana 2'!AB21,IF($E$7="Semana 3",'Semana 3'!AB21,IF($E$7="Semana 4",'Semana 4'!AB21,FALSE))))</f>
        <v>-1.0</v>
      </c>
      <c r="AX22" s="52" t="str">
        <f>IF($E$7="Semana 1",'Semana 1'!AC21,IF($E$7="Semana 2",'Semana 2'!AC21,IF($E$7="Semana 3",'Semana 3'!AC21,IF($E$7="Semana 4",'Semana 4'!AC21,FALSE))))</f>
        <v>-1.0</v>
      </c>
      <c r="AY22" s="52" t="str">
        <f>IF($E$7="Semana 1",'Semana 1'!AD21,IF($E$7="Semana 2",'Semana 2'!AD21,IF($E$7="Semana 3",'Semana 3'!AD21,IF($E$7="Semana 4",'Semana 4'!AD21,FALSE))))</f>
        <v>-5.0</v>
      </c>
    </row>
    <row r="23" ht="15.75" customHeight="1">
      <c r="E23" s="183"/>
      <c r="N23" s="183"/>
      <c r="Y23" s="18" t="str">
        <f t="shared" si="1"/>
        <v>17</v>
      </c>
      <c r="Z23" s="19" t="str">
        <f>IF($E$7="Semana 1",'Semana 1'!E22,IF($E$7="Semana 2",'Semana 2'!E22,IF($E$7="Semana 3",'Semana 3'!E22,IF($E$7="Semana 4",'Semana 4'!E22,FALSE))))</f>
        <v>Katherin Gabriela Monzon Vivar</v>
      </c>
      <c r="AA23" s="19" t="str">
        <f>IF($E$7="Semana 1",'Semana 1'!F22,IF($E$7="Semana 2",'Semana 2'!F22,IF($E$7="Semana 3",'Semana 3'!F22,IF($E$7="Semana 4",'Semana 4'!F22,FALSE))))</f>
        <v>Semana 1</v>
      </c>
      <c r="AB23" s="19" t="str">
        <f>IF($E$7="Semana 1",'Semana 1'!G22,IF($E$7="Semana 2",'Semana 2'!G22,IF($E$7="Semana 3",'Semana 3'!G22,IF($E$7="Semana 4",'Semana 4'!G22,FALSE))))</f>
        <v>AGENTE</v>
      </c>
      <c r="AC23" s="54" t="str">
        <f>IF($E$7="Semana 1",'Semana 1'!H22,IF($E$7="Semana 2",'Semana 2'!H22,IF($E$7="Semana 3",'Semana 3'!H22,IF($E$7="Semana 4",'Semana 4'!H22,FALSE))))</f>
        <v>8:00</v>
      </c>
      <c r="AD23" s="54" t="str">
        <f>IF($E$7="Semana 1",'Semana 1'!I22,IF($E$7="Semana 2",'Semana 2'!I22,IF($E$7="Semana 3",'Semana 3'!I22,IF($E$7="Semana 4",'Semana 4'!I22,FALSE))))</f>
        <v>17:00</v>
      </c>
      <c r="AE23" s="54" t="str">
        <f>IF($E$7="Semana 1",'Semana 1'!J22,IF($E$7="Semana 2",'Semana 2'!J22,IF($E$7="Semana 3",'Semana 3'!J22,IF($E$7="Semana 4",'Semana 4'!J22,FALSE))))</f>
        <v>13:30</v>
      </c>
      <c r="AF23" s="54" t="str">
        <f>IF($E$7="Semana 1",'Semana 1'!K22,IF($E$7="Semana 2",'Semana 2'!K22,IF($E$7="Semana 3",'Semana 3'!K22,IF($E$7="Semana 4",'Semana 4'!K22,FALSE))))</f>
        <v>14:30</v>
      </c>
      <c r="AG23" s="54" t="str">
        <f>IF($E$7="Semana 1",'Semana 1'!L22,IF($E$7="Semana 2",'Semana 2'!L22,IF($E$7="Semana 3",'Semana 3'!L22,IF($E$7="Semana 4",'Semana 4'!L22,FALSE))))</f>
        <v>9:15</v>
      </c>
      <c r="AH23" s="54" t="str">
        <f>IF($E$7="Semana 1",'Semana 1'!M22,IF($E$7="Semana 2",'Semana 2'!M22,IF($E$7="Semana 3",'Semana 3'!M22,IF($E$7="Semana 4",'Semana 4'!M22,FALSE))))</f>
        <v>9:35</v>
      </c>
      <c r="AI23" s="54" t="str">
        <f>IF($E$7="Semana 1",'Semana 1'!N22,IF($E$7="Semana 2",'Semana 2'!N22,IF($E$7="Semana 3",'Semana 3'!N22,IF($E$7="Semana 4",'Semana 4'!N22,FALSE))))</f>
        <v>16:45</v>
      </c>
      <c r="AJ23" s="54" t="str">
        <f>IF($E$7="Semana 1",'Semana 1'!O22,IF($E$7="Semana 2",'Semana 2'!O22,IF($E$7="Semana 3",'Semana 3'!O22,IF($E$7="Semana 4",'Semana 4'!O22,FALSE))))</f>
        <v>16:55</v>
      </c>
      <c r="AK23" s="55" t="str">
        <f>IF($E$7="Semana 1",'Semana 1'!P22,IF($E$7="Semana 2",'Semana 2'!P22,IF($E$7="Semana 3",'Semana 3'!P22,IF($E$7="Semana 4",'Semana 4'!P22,FALSE))))</f>
        <v>8.0</v>
      </c>
      <c r="AL23" s="54" t="str">
        <f>IF($E$7="Semana 1",'Semana 1'!Q22,IF($E$7="Semana 2",'Semana 2'!Q22,IF($E$7="Semana 3",'Semana 3'!Q22,IF($E$7="Semana 4",'Semana 4'!Q22,FALSE))))</f>
        <v>8:00</v>
      </c>
      <c r="AM23" s="54" t="str">
        <f>IF($E$7="Semana 1",'Semana 1'!R22,IF($E$7="Semana 2",'Semana 2'!R22,IF($E$7="Semana 3",'Semana 3'!R22,IF($E$7="Semana 4",'Semana 4'!R22,FALSE))))</f>
        <v>13:00</v>
      </c>
      <c r="AN23" s="56" t="str">
        <f>IF($E$7="Semana 1",'Semana 1'!S22,IF($E$7="Semana 2",'Semana 2'!S22,IF($E$7="Semana 3",'Semana 3'!S22,IF($E$7="Semana 4",'Semana 4'!S22,FALSE))))</f>
        <v/>
      </c>
      <c r="AO23" s="56" t="str">
        <f>IF($E$7="Semana 1",'Semana 1'!T22,IF($E$7="Semana 2",'Semana 2'!T22,IF($E$7="Semana 3",'Semana 3'!T22,IF($E$7="Semana 4",'Semana 4'!T22,FALSE))))</f>
        <v/>
      </c>
      <c r="AP23" s="54" t="str">
        <f>IF($E$7="Semana 1",'Semana 1'!U22,IF($E$7="Semana 2",'Semana 2'!U22,IF($E$7="Semana 3",'Semana 3'!U22,IF($E$7="Semana 4",'Semana 4'!U22,FALSE))))</f>
        <v>8:30</v>
      </c>
      <c r="AQ23" s="54" t="str">
        <f>IF($E$7="Semana 1",'Semana 1'!V22,IF($E$7="Semana 2",'Semana 2'!V22,IF($E$7="Semana 3",'Semana 3'!V22,IF($E$7="Semana 4",'Semana 4'!V22,FALSE))))</f>
        <v>9:00</v>
      </c>
      <c r="AR23" s="56" t="str">
        <f>IF($E$7="Semana 1",'Semana 1'!W22,IF($E$7="Semana 2",'Semana 2'!W22,IF($E$7="Semana 3",'Semana 3'!W22,IF($E$7="Semana 4",'Semana 4'!W22,FALSE))))</f>
        <v/>
      </c>
      <c r="AS23" s="56" t="str">
        <f>IF($E$7="Semana 1",'Semana 1'!X22,IF($E$7="Semana 2",'Semana 2'!X22,IF($E$7="Semana 3",'Semana 3'!X22,IF($E$7="Semana 4",'Semana 4'!X22,FALSE))))</f>
        <v/>
      </c>
      <c r="AT23" s="55" t="str">
        <f>IF($E$7="Semana 1",'Semana 1'!Y22,IF($E$7="Semana 2",'Semana 2'!Y22,IF($E$7="Semana 3",'Semana 3'!Y22,IF($E$7="Semana 4",'Semana 4'!Y22,FALSE))))</f>
        <v>5.0</v>
      </c>
      <c r="AU23" s="55" t="str">
        <f>IF($E$7="Semana 1",'Semana 1'!Z22,IF($E$7="Semana 2",'Semana 2'!Z22,IF($E$7="Semana 3",'Semana 3'!Z22,IF($E$7="Semana 4",'Semana 4'!Z22,FALSE))))</f>
        <v>8.0</v>
      </c>
      <c r="AV23" s="55" t="str">
        <f>IF($E$7="Semana 1",'Semana 1'!AA22,IF($E$7="Semana 2",'Semana 2'!AA22,IF($E$7="Semana 3",'Semana 3'!AA22,IF($E$7="Semana 4",'Semana 4'!AA22,FALSE))))</f>
        <v>8.0</v>
      </c>
      <c r="AW23" s="55" t="str">
        <f>IF($E$7="Semana 1",'Semana 1'!AB22,IF($E$7="Semana 2",'Semana 2'!AB22,IF($E$7="Semana 3",'Semana 3'!AB22,IF($E$7="Semana 4",'Semana 4'!AB22,FALSE))))</f>
        <v>8.0</v>
      </c>
      <c r="AX23" s="55" t="str">
        <f>IF($E$7="Semana 1",'Semana 1'!AC22,IF($E$7="Semana 2",'Semana 2'!AC22,IF($E$7="Semana 3",'Semana 3'!AC22,IF($E$7="Semana 4",'Semana 4'!AC22,FALSE))))</f>
        <v>8.0</v>
      </c>
      <c r="AY23" s="55" t="str">
        <f>IF($E$7="Semana 1",'Semana 1'!AD22,IF($E$7="Semana 2",'Semana 2'!AD22,IF($E$7="Semana 3",'Semana 3'!AD22,IF($E$7="Semana 4",'Semana 4'!AD22,FALSE))))</f>
        <v>45.1</v>
      </c>
    </row>
    <row r="24" ht="15.75" customHeight="1">
      <c r="N24" s="183"/>
      <c r="Y24" s="179" t="str">
        <f t="shared" si="1"/>
        <v>18</v>
      </c>
      <c r="Z24" s="180" t="str">
        <f>IF($E$7="Semana 1",'Semana 1'!E23,IF($E$7="Semana 2",'Semana 2'!E23,IF($E$7="Semana 3",'Semana 3'!E23,IF($E$7="Semana 4",'Semana 4'!E23,FALSE))))</f>
        <v>Velvet Esmeralda Quiroz Godinez</v>
      </c>
      <c r="AA24" s="180" t="str">
        <f>IF($E$7="Semana 1",'Semana 1'!F23,IF($E$7="Semana 2",'Semana 2'!F23,IF($E$7="Semana 3",'Semana 3'!F23,IF($E$7="Semana 4",'Semana 4'!F23,FALSE))))</f>
        <v>Semana 1</v>
      </c>
      <c r="AB24" s="180" t="str">
        <f>IF($E$7="Semana 1",'Semana 1'!G23,IF($E$7="Semana 2",'Semana 2'!G23,IF($E$7="Semana 3",'Semana 3'!G23,IF($E$7="Semana 4",'Semana 4'!G23,FALSE))))</f>
        <v>AGENTE RM</v>
      </c>
      <c r="AC24" s="51" t="str">
        <f>IF($E$7="Semana 1",'Semana 1'!H23,IF($E$7="Semana 2",'Semana 2'!H23,IF($E$7="Semana 3",'Semana 3'!H23,IF($E$7="Semana 4",'Semana 4'!H23,FALSE))))</f>
        <v>7:30</v>
      </c>
      <c r="AD24" s="51" t="str">
        <f>IF($E$7="Semana 1",'Semana 1'!I23,IF($E$7="Semana 2",'Semana 2'!I23,IF($E$7="Semana 3",'Semana 3'!I23,IF($E$7="Semana 4",'Semana 4'!I23,FALSE))))</f>
        <v>16:30</v>
      </c>
      <c r="AE24" s="51" t="str">
        <f>IF($E$7="Semana 1",'Semana 1'!J23,IF($E$7="Semana 2",'Semana 2'!J23,IF($E$7="Semana 3",'Semana 3'!J23,IF($E$7="Semana 4",'Semana 4'!J23,FALSE))))</f>
        <v>13:00</v>
      </c>
      <c r="AF24" s="51" t="str">
        <f>IF($E$7="Semana 1",'Semana 1'!K23,IF($E$7="Semana 2",'Semana 2'!K23,IF($E$7="Semana 3",'Semana 3'!K23,IF($E$7="Semana 4",'Semana 4'!K23,FALSE))))</f>
        <v>14:00</v>
      </c>
      <c r="AG24" s="51" t="str">
        <f>IF($E$7="Semana 1",'Semana 1'!L23,IF($E$7="Semana 2",'Semana 2'!L23,IF($E$7="Semana 3",'Semana 3'!L23,IF($E$7="Semana 4",'Semana 4'!L23,FALSE))))</f>
        <v>8:20</v>
      </c>
      <c r="AH24" s="51" t="str">
        <f>IF($E$7="Semana 1",'Semana 1'!M23,IF($E$7="Semana 2",'Semana 2'!M23,IF($E$7="Semana 3",'Semana 3'!M23,IF($E$7="Semana 4",'Semana 4'!M23,FALSE))))</f>
        <v>8:40</v>
      </c>
      <c r="AI24" s="51" t="str">
        <f>IF($E$7="Semana 1",'Semana 1'!N23,IF($E$7="Semana 2",'Semana 2'!N23,IF($E$7="Semana 3",'Semana 3'!N23,IF($E$7="Semana 4",'Semana 4'!N23,FALSE))))</f>
        <v>14:30</v>
      </c>
      <c r="AJ24" s="51" t="str">
        <f>IF($E$7="Semana 1",'Semana 1'!O23,IF($E$7="Semana 2",'Semana 2'!O23,IF($E$7="Semana 3",'Semana 3'!O23,IF($E$7="Semana 4",'Semana 4'!O23,FALSE))))</f>
        <v>14:40</v>
      </c>
      <c r="AK24" s="52" t="str">
        <f>IF($E$7="Semana 1",'Semana 1'!P23,IF($E$7="Semana 2",'Semana 2'!P23,IF($E$7="Semana 3",'Semana 3'!P23,IF($E$7="Semana 4",'Semana 4'!P23,FALSE))))</f>
        <v>8.0</v>
      </c>
      <c r="AL24" s="51" t="str">
        <f>IF($E$7="Semana 1",'Semana 1'!Q23,IF($E$7="Semana 2",'Semana 2'!Q23,IF($E$7="Semana 3",'Semana 3'!Q23,IF($E$7="Semana 4",'Semana 4'!Q23,FALSE))))</f>
        <v>9:00</v>
      </c>
      <c r="AM24" s="51" t="str">
        <f>IF($E$7="Semana 1",'Semana 1'!R23,IF($E$7="Semana 2",'Semana 2'!R23,IF($E$7="Semana 3",'Semana 3'!R23,IF($E$7="Semana 4",'Semana 4'!R23,FALSE))))</f>
        <v>14:00</v>
      </c>
      <c r="AN24" s="51" t="str">
        <f>IF($E$7="Semana 1",'Semana 1'!S23,IF($E$7="Semana 2",'Semana 2'!S23,IF($E$7="Semana 3",'Semana 3'!S23,IF($E$7="Semana 4",'Semana 4'!S23,FALSE))))</f>
        <v/>
      </c>
      <c r="AO24" s="51" t="str">
        <f>IF($E$7="Semana 1",'Semana 1'!T23,IF($E$7="Semana 2",'Semana 2'!T23,IF($E$7="Semana 3",'Semana 3'!T23,IF($E$7="Semana 4",'Semana 4'!T23,FALSE))))</f>
        <v/>
      </c>
      <c r="AP24" s="51" t="str">
        <f>IF($E$7="Semana 1",'Semana 1'!U23,IF($E$7="Semana 2",'Semana 2'!U23,IF($E$7="Semana 3",'Semana 3'!U23,IF($E$7="Semana 4",'Semana 4'!U23,FALSE))))</f>
        <v>10:00</v>
      </c>
      <c r="AQ24" s="51" t="str">
        <f>IF($E$7="Semana 1",'Semana 1'!V23,IF($E$7="Semana 2",'Semana 2'!V23,IF($E$7="Semana 3",'Semana 3'!V23,IF($E$7="Semana 4",'Semana 4'!V23,FALSE))))</f>
        <v>10:30</v>
      </c>
      <c r="AR24" s="51" t="str">
        <f>IF($E$7="Semana 1",'Semana 1'!W23,IF($E$7="Semana 2",'Semana 2'!W23,IF($E$7="Semana 3",'Semana 3'!W23,IF($E$7="Semana 4",'Semana 4'!W23,FALSE))))</f>
        <v/>
      </c>
      <c r="AS24" s="51" t="str">
        <f>IF($E$7="Semana 1",'Semana 1'!X23,IF($E$7="Semana 2",'Semana 2'!X23,IF($E$7="Semana 3",'Semana 3'!X23,IF($E$7="Semana 4",'Semana 4'!X23,FALSE))))</f>
        <v/>
      </c>
      <c r="AT24" s="52" t="str">
        <f>IF($E$7="Semana 1",'Semana 1'!Y23,IF($E$7="Semana 2",'Semana 2'!Y23,IF($E$7="Semana 3",'Semana 3'!Y23,IF($E$7="Semana 4",'Semana 4'!Y23,FALSE))))</f>
        <v>5.0</v>
      </c>
      <c r="AU24" s="52" t="str">
        <f>IF($E$7="Semana 1",'Semana 1'!Z23,IF($E$7="Semana 2",'Semana 2'!Z23,IF($E$7="Semana 3",'Semana 3'!Z23,IF($E$7="Semana 4",'Semana 4'!Z23,FALSE))))</f>
        <v>8.0</v>
      </c>
      <c r="AV24" s="52" t="str">
        <f>IF($E$7="Semana 1",'Semana 1'!AA23,IF($E$7="Semana 2",'Semana 2'!AA23,IF($E$7="Semana 3",'Semana 3'!AA23,IF($E$7="Semana 4",'Semana 4'!AA23,FALSE))))</f>
        <v>8.0</v>
      </c>
      <c r="AW24" s="52" t="str">
        <f>IF($E$7="Semana 1",'Semana 1'!AB23,IF($E$7="Semana 2",'Semana 2'!AB23,IF($E$7="Semana 3",'Semana 3'!AB23,IF($E$7="Semana 4",'Semana 4'!AB23,FALSE))))</f>
        <v>8.0</v>
      </c>
      <c r="AX24" s="52" t="str">
        <f>IF($E$7="Semana 1",'Semana 1'!AC23,IF($E$7="Semana 2",'Semana 2'!AC23,IF($E$7="Semana 3",'Semana 3'!AC23,IF($E$7="Semana 4",'Semana 4'!AC23,FALSE))))</f>
        <v>8.0</v>
      </c>
      <c r="AY24" s="52" t="str">
        <f>IF($E$7="Semana 1",'Semana 1'!AD23,IF($E$7="Semana 2",'Semana 2'!AD23,IF($E$7="Semana 3",'Semana 3'!AD23,IF($E$7="Semana 4",'Semana 4'!AD23,FALSE))))</f>
        <v>45.1</v>
      </c>
    </row>
    <row r="25" ht="15.75" customHeight="1">
      <c r="N25" s="183"/>
      <c r="Y25" s="18" t="str">
        <f t="shared" si="1"/>
        <v>19</v>
      </c>
      <c r="Z25" s="19" t="str">
        <f>IF($E$7="Semana 1",'Semana 1'!E24,IF($E$7="Semana 2",'Semana 2'!E24,IF($E$7="Semana 3",'Semana 3'!E24,IF($E$7="Semana 4",'Semana 4'!E24,FALSE))))</f>
        <v>Marcela Alessandra López Melgar</v>
      </c>
      <c r="AA25" s="19" t="str">
        <f>IF($E$7="Semana 1",'Semana 1'!F24,IF($E$7="Semana 2",'Semana 2'!F24,IF($E$7="Semana 3",'Semana 3'!F24,IF($E$7="Semana 4",'Semana 4'!F24,FALSE))))</f>
        <v>Semana 1</v>
      </c>
      <c r="AB25" s="19" t="str">
        <f>IF($E$7="Semana 1",'Semana 1'!G24,IF($E$7="Semana 2",'Semana 2'!G24,IF($E$7="Semana 3",'Semana 3'!G24,IF($E$7="Semana 4",'Semana 4'!G24,FALSE))))</f>
        <v>REDES</v>
      </c>
      <c r="AC25" s="54" t="str">
        <f>IF($E$7="Semana 1",'Semana 1'!H24,IF($E$7="Semana 2",'Semana 2'!H24,IF($E$7="Semana 3",'Semana 3'!H24,IF($E$7="Semana 4",'Semana 4'!H24,FALSE))))</f>
        <v>6:30</v>
      </c>
      <c r="AD25" s="54" t="str">
        <f>IF($E$7="Semana 1",'Semana 1'!I24,IF($E$7="Semana 2",'Semana 2'!I24,IF($E$7="Semana 3",'Semana 3'!I24,IF($E$7="Semana 4",'Semana 4'!I24,FALSE))))</f>
        <v>15:30</v>
      </c>
      <c r="AE25" s="54" t="str">
        <f>IF($E$7="Semana 1",'Semana 1'!J24,IF($E$7="Semana 2",'Semana 2'!J24,IF($E$7="Semana 3",'Semana 3'!J24,IF($E$7="Semana 4",'Semana 4'!J24,FALSE))))</f>
        <v>13:00</v>
      </c>
      <c r="AF25" s="54" t="str">
        <f>IF($E$7="Semana 1",'Semana 1'!K24,IF($E$7="Semana 2",'Semana 2'!K24,IF($E$7="Semana 3",'Semana 3'!K24,IF($E$7="Semana 4",'Semana 4'!K24,FALSE))))</f>
        <v>14:00</v>
      </c>
      <c r="AG25" s="54" t="str">
        <f>IF($E$7="Semana 1",'Semana 1'!L24,IF($E$7="Semana 2",'Semana 2'!L24,IF($E$7="Semana 3",'Semana 3'!L24,IF($E$7="Semana 4",'Semana 4'!L24,FALSE))))</f>
        <v>8:00</v>
      </c>
      <c r="AH25" s="54" t="str">
        <f>IF($E$7="Semana 1",'Semana 1'!M24,IF($E$7="Semana 2",'Semana 2'!M24,IF($E$7="Semana 3",'Semana 3'!M24,IF($E$7="Semana 4",'Semana 4'!M24,FALSE))))</f>
        <v>8:20</v>
      </c>
      <c r="AI25" s="54" t="str">
        <f>IF($E$7="Semana 1",'Semana 1'!N24,IF($E$7="Semana 2",'Semana 2'!N24,IF($E$7="Semana 3",'Semana 3'!N24,IF($E$7="Semana 4",'Semana 4'!N24,FALSE))))</f>
        <v>14:00</v>
      </c>
      <c r="AJ25" s="54" t="str">
        <f>IF($E$7="Semana 1",'Semana 1'!O24,IF($E$7="Semana 2",'Semana 2'!O24,IF($E$7="Semana 3",'Semana 3'!O24,IF($E$7="Semana 4",'Semana 4'!O24,FALSE))))</f>
        <v>14:10</v>
      </c>
      <c r="AK25" s="55" t="str">
        <f>IF($E$7="Semana 1",'Semana 1'!P24,IF($E$7="Semana 2",'Semana 2'!P24,IF($E$7="Semana 3",'Semana 3'!P24,IF($E$7="Semana 4",'Semana 4'!P24,FALSE))))</f>
        <v>8.0</v>
      </c>
      <c r="AL25" s="54" t="str">
        <f>IF($E$7="Semana 1",'Semana 1'!Q24,IF($E$7="Semana 2",'Semana 2'!Q24,IF($E$7="Semana 3",'Semana 3'!Q24,IF($E$7="Semana 4",'Semana 4'!Q24,FALSE))))</f>
        <v>6:30</v>
      </c>
      <c r="AM25" s="54" t="str">
        <f>IF($E$7="Semana 1",'Semana 1'!R24,IF($E$7="Semana 2",'Semana 2'!R24,IF($E$7="Semana 3",'Semana 3'!R24,IF($E$7="Semana 4",'Semana 4'!R24,FALSE))))</f>
        <v>11:30</v>
      </c>
      <c r="AN25" s="54" t="str">
        <f>IF($E$7="Semana 1",'Semana 1'!S24,IF($E$7="Semana 2",'Semana 2'!S24,IF($E$7="Semana 3",'Semana 3'!S24,IF($E$7="Semana 4",'Semana 4'!S24,FALSE))))</f>
        <v/>
      </c>
      <c r="AO25" s="54" t="str">
        <f>IF($E$7="Semana 1",'Semana 1'!T24,IF($E$7="Semana 2",'Semana 2'!T24,IF($E$7="Semana 3",'Semana 3'!T24,IF($E$7="Semana 4",'Semana 4'!T24,FALSE))))</f>
        <v/>
      </c>
      <c r="AP25" s="54" t="str">
        <f>IF($E$7="Semana 1",'Semana 1'!U24,IF($E$7="Semana 2",'Semana 2'!U24,IF($E$7="Semana 3",'Semana 3'!U24,IF($E$7="Semana 4",'Semana 4'!U24,FALSE))))</f>
        <v>7:30</v>
      </c>
      <c r="AQ25" s="54" t="str">
        <f>IF($E$7="Semana 1",'Semana 1'!V24,IF($E$7="Semana 2",'Semana 2'!V24,IF($E$7="Semana 3",'Semana 3'!V24,IF($E$7="Semana 4",'Semana 4'!V24,FALSE))))</f>
        <v>8:00</v>
      </c>
      <c r="AR25" s="54" t="str">
        <f>IF($E$7="Semana 1",'Semana 1'!W24,IF($E$7="Semana 2",'Semana 2'!W24,IF($E$7="Semana 3",'Semana 3'!W24,IF($E$7="Semana 4",'Semana 4'!W24,FALSE))))</f>
        <v/>
      </c>
      <c r="AS25" s="54" t="str">
        <f>IF($E$7="Semana 1",'Semana 1'!X24,IF($E$7="Semana 2",'Semana 2'!X24,IF($E$7="Semana 3",'Semana 3'!X24,IF($E$7="Semana 4",'Semana 4'!X24,FALSE))))</f>
        <v/>
      </c>
      <c r="AT25" s="55" t="str">
        <f>IF($E$7="Semana 1",'Semana 1'!Y24,IF($E$7="Semana 2",'Semana 2'!Y24,IF($E$7="Semana 3",'Semana 3'!Y24,IF($E$7="Semana 4",'Semana 4'!Y24,FALSE))))</f>
        <v>5.0</v>
      </c>
      <c r="AU25" s="55" t="str">
        <f>IF($E$7="Semana 1",'Semana 1'!Z24,IF($E$7="Semana 2",'Semana 2'!Z24,IF($E$7="Semana 3",'Semana 3'!Z24,IF($E$7="Semana 4",'Semana 4'!Z24,FALSE))))</f>
        <v>8.0</v>
      </c>
      <c r="AV25" s="55" t="str">
        <f>IF($E$7="Semana 1",'Semana 1'!AA24,IF($E$7="Semana 2",'Semana 2'!AA24,IF($E$7="Semana 3",'Semana 3'!AA24,IF($E$7="Semana 4",'Semana 4'!AA24,FALSE))))</f>
        <v>8.0</v>
      </c>
      <c r="AW25" s="55" t="str">
        <f>IF($E$7="Semana 1",'Semana 1'!AB24,IF($E$7="Semana 2",'Semana 2'!AB24,IF($E$7="Semana 3",'Semana 3'!AB24,IF($E$7="Semana 4",'Semana 4'!AB24,FALSE))))</f>
        <v>8.0</v>
      </c>
      <c r="AX25" s="55" t="str">
        <f>IF($E$7="Semana 1",'Semana 1'!AC24,IF($E$7="Semana 2",'Semana 2'!AC24,IF($E$7="Semana 3",'Semana 3'!AC24,IF($E$7="Semana 4",'Semana 4'!AC24,FALSE))))</f>
        <v>8.0</v>
      </c>
      <c r="AY25" s="55" t="str">
        <f>IF($E$7="Semana 1",'Semana 1'!AD24,IF($E$7="Semana 2",'Semana 2'!AD24,IF($E$7="Semana 3",'Semana 3'!AD24,IF($E$7="Semana 4",'Semana 4'!AD24,FALSE))))</f>
        <v>45.1</v>
      </c>
    </row>
    <row r="26" ht="15.75" customHeight="1">
      <c r="N26" s="183"/>
      <c r="Y26" s="179" t="str">
        <f t="shared" si="1"/>
        <v>20</v>
      </c>
      <c r="Z26" s="180" t="str">
        <f>IF($E$7="Semana 1",'Semana 1'!E25,IF($E$7="Semana 2",'Semana 2'!E25,IF($E$7="Semana 3",'Semana 3'!E25,IF($E$7="Semana 4",'Semana 4'!E25,FALSE))))</f>
        <v>Ana Marilú González de la Cruz</v>
      </c>
      <c r="AA26" s="180" t="str">
        <f>IF($E$7="Semana 1",'Semana 1'!F25,IF($E$7="Semana 2",'Semana 2'!F25,IF($E$7="Semana 3",'Semana 3'!F25,IF($E$7="Semana 4",'Semana 4'!F25,FALSE))))</f>
        <v>Semana 1</v>
      </c>
      <c r="AB26" s="180" t="str">
        <f>IF($E$7="Semana 1",'Semana 1'!G25,IF($E$7="Semana 2",'Semana 2'!G25,IF($E$7="Semana 3",'Semana 3'!G25,IF($E$7="Semana 4",'Semana 4'!G25,FALSE))))</f>
        <v>SOPORTE</v>
      </c>
      <c r="AC26" s="51" t="str">
        <f>IF($E$7="Semana 1",'Semana 1'!H25,IF($E$7="Semana 2",'Semana 2'!H25,IF($E$7="Semana 3",'Semana 3'!H25,IF($E$7="Semana 4",'Semana 4'!H25,FALSE))))</f>
        <v/>
      </c>
      <c r="AD26" s="51" t="str">
        <f>IF($E$7="Semana 1",'Semana 1'!I25,IF($E$7="Semana 2",'Semana 2'!I25,IF($E$7="Semana 3",'Semana 3'!I25,IF($E$7="Semana 4",'Semana 4'!I25,FALSE))))</f>
        <v> </v>
      </c>
      <c r="AE26" s="51" t="str">
        <f>IF($E$7="Semana 1",'Semana 1'!J25,IF($E$7="Semana 2",'Semana 2'!J25,IF($E$7="Semana 3",'Semana 3'!J25,IF($E$7="Semana 4",'Semana 4'!J25,FALSE))))</f>
        <v/>
      </c>
      <c r="AF26" s="51" t="str">
        <f>IF($E$7="Semana 1",'Semana 1'!K25,IF($E$7="Semana 2",'Semana 2'!K25,IF($E$7="Semana 3",'Semana 3'!K25,IF($E$7="Semana 4",'Semana 4'!K25,FALSE))))</f>
        <v> - </v>
      </c>
      <c r="AG26" s="51" t="str">
        <f>IF($E$7="Semana 1",'Semana 1'!L25,IF($E$7="Semana 2",'Semana 2'!L25,IF($E$7="Semana 3",'Semana 3'!L25,IF($E$7="Semana 4",'Semana 4'!L25,FALSE))))</f>
        <v/>
      </c>
      <c r="AH26" s="51" t="str">
        <f>IF($E$7="Semana 1",'Semana 1'!M25,IF($E$7="Semana 2",'Semana 2'!M25,IF($E$7="Semana 3",'Semana 3'!M25,IF($E$7="Semana 4",'Semana 4'!M25,FALSE))))</f>
        <v> - </v>
      </c>
      <c r="AI26" s="51" t="str">
        <f>IF($E$7="Semana 1",'Semana 1'!N25,IF($E$7="Semana 2",'Semana 2'!N25,IF($E$7="Semana 3",'Semana 3'!N25,IF($E$7="Semana 4",'Semana 4'!N25,FALSE))))</f>
        <v/>
      </c>
      <c r="AJ26" s="51" t="str">
        <f>IF($E$7="Semana 1",'Semana 1'!O25,IF($E$7="Semana 2",'Semana 2'!O25,IF($E$7="Semana 3",'Semana 3'!O25,IF($E$7="Semana 4",'Semana 4'!O25,FALSE))))</f>
        <v> - </v>
      </c>
      <c r="AK26" s="52" t="str">
        <f>IF($E$7="Semana 1",'Semana 1'!P25,IF($E$7="Semana 2",'Semana 2'!P25,IF($E$7="Semana 3",'Semana 3'!P25,IF($E$7="Semana 4",'Semana 4'!P25,FALSE))))</f>
        <v>-1.0</v>
      </c>
      <c r="AL26" s="51" t="str">
        <f>IF($E$7="Semana 1",'Semana 1'!Q25,IF($E$7="Semana 2",'Semana 2'!Q25,IF($E$7="Semana 3",'Semana 3'!Q25,IF($E$7="Semana 4",'Semana 4'!Q25,FALSE))))</f>
        <v/>
      </c>
      <c r="AM26" s="51" t="str">
        <f>IF($E$7="Semana 1",'Semana 1'!R25,IF($E$7="Semana 2",'Semana 2'!R25,IF($E$7="Semana 3",'Semana 3'!R25,IF($E$7="Semana 4",'Semana 4'!R25,FALSE))))</f>
        <v/>
      </c>
      <c r="AN26" s="53" t="str">
        <f>IF($E$7="Semana 1",'Semana 1'!S25,IF($E$7="Semana 2",'Semana 2'!S25,IF($E$7="Semana 3",'Semana 3'!S25,IF($E$7="Semana 4",'Semana 4'!S25,FALSE))))</f>
        <v/>
      </c>
      <c r="AO26" s="53" t="str">
        <f>IF($E$7="Semana 1",'Semana 1'!T25,IF($E$7="Semana 2",'Semana 2'!T25,IF($E$7="Semana 3",'Semana 3'!T25,IF($E$7="Semana 4",'Semana 4'!T25,FALSE))))</f>
        <v/>
      </c>
      <c r="AP26" s="51" t="str">
        <f>IF($E$7="Semana 1",'Semana 1'!U25,IF($E$7="Semana 2",'Semana 2'!U25,IF($E$7="Semana 3",'Semana 3'!U25,IF($E$7="Semana 4",'Semana 4'!U25,FALSE))))</f>
        <v/>
      </c>
      <c r="AQ26" s="51" t="str">
        <f>IF($E$7="Semana 1",'Semana 1'!V25,IF($E$7="Semana 2",'Semana 2'!V25,IF($E$7="Semana 3",'Semana 3'!V25,IF($E$7="Semana 4",'Semana 4'!V25,FALSE))))</f>
        <v/>
      </c>
      <c r="AR26" s="53" t="str">
        <f>IF($E$7="Semana 1",'Semana 1'!W25,IF($E$7="Semana 2",'Semana 2'!W25,IF($E$7="Semana 3",'Semana 3'!W25,IF($E$7="Semana 4",'Semana 4'!W25,FALSE))))</f>
        <v/>
      </c>
      <c r="AS26" s="53" t="str">
        <f>IF($E$7="Semana 1",'Semana 1'!X25,IF($E$7="Semana 2",'Semana 2'!X25,IF($E$7="Semana 3",'Semana 3'!X25,IF($E$7="Semana 4",'Semana 4'!X25,FALSE))))</f>
        <v/>
      </c>
      <c r="AT26" s="52" t="str">
        <f>IF($E$7="Semana 1",'Semana 1'!Y25,IF($E$7="Semana 2",'Semana 2'!Y25,IF($E$7="Semana 3",'Semana 3'!Y25,IF($E$7="Semana 4",'Semana 4'!Y25,FALSE))))</f>
        <v>0.0</v>
      </c>
      <c r="AU26" s="52" t="str">
        <f>IF($E$7="Semana 1",'Semana 1'!Z25,IF($E$7="Semana 2",'Semana 2'!Z25,IF($E$7="Semana 3",'Semana 3'!Z25,IF($E$7="Semana 4",'Semana 4'!Z25,FALSE))))</f>
        <v>-1.0</v>
      </c>
      <c r="AV26" s="52" t="str">
        <f>IF($E$7="Semana 1",'Semana 1'!AA25,IF($E$7="Semana 2",'Semana 2'!AA25,IF($E$7="Semana 3",'Semana 3'!AA25,IF($E$7="Semana 4",'Semana 4'!AA25,FALSE))))</f>
        <v>-1.0</v>
      </c>
      <c r="AW26" s="52" t="str">
        <f>IF($E$7="Semana 1",'Semana 1'!AB25,IF($E$7="Semana 2",'Semana 2'!AB25,IF($E$7="Semana 3",'Semana 3'!AB25,IF($E$7="Semana 4",'Semana 4'!AB25,FALSE))))</f>
        <v>-1.0</v>
      </c>
      <c r="AX26" s="52" t="str">
        <f>IF($E$7="Semana 1",'Semana 1'!AC25,IF($E$7="Semana 2",'Semana 2'!AC25,IF($E$7="Semana 3",'Semana 3'!AC25,IF($E$7="Semana 4",'Semana 4'!AC25,FALSE))))</f>
        <v>-1.0</v>
      </c>
      <c r="AY26" s="52" t="str">
        <f>IF($E$7="Semana 1",'Semana 1'!AD25,IF($E$7="Semana 2",'Semana 2'!AD25,IF($E$7="Semana 3",'Semana 3'!AD25,IF($E$7="Semana 4",'Semana 4'!AD25,FALSE))))</f>
        <v>-5.0</v>
      </c>
    </row>
    <row r="27" ht="15.75" customHeight="1">
      <c r="N27" s="183"/>
      <c r="Y27" s="18" t="str">
        <f t="shared" si="1"/>
        <v>21</v>
      </c>
      <c r="Z27" s="19" t="str">
        <f>IF($E$7="Semana 1",'Semana 1'!E26,IF($E$7="Semana 2",'Semana 2'!E26,IF($E$7="Semana 3",'Semana 3'!E26,IF($E$7="Semana 4",'Semana 4'!E26,FALSE))))</f>
        <v>Ingrid Rebeca Santizo Lopez</v>
      </c>
      <c r="AA27" s="19" t="str">
        <f>IF($E$7="Semana 1",'Semana 1'!F26,IF($E$7="Semana 2",'Semana 2'!F26,IF($E$7="Semana 3",'Semana 3'!F26,IF($E$7="Semana 4",'Semana 4'!F26,FALSE))))</f>
        <v>Semana 1</v>
      </c>
      <c r="AB27" s="19" t="str">
        <f>IF($E$7="Semana 1",'Semana 1'!G26,IF($E$7="Semana 2",'Semana 2'!G26,IF($E$7="Semana 3",'Semana 3'!G26,IF($E$7="Semana 4",'Semana 4'!G26,FALSE))))</f>
        <v>AGENTE APERTURA</v>
      </c>
      <c r="AC27" s="54" t="str">
        <f>IF($E$7="Semana 1",'Semana 1'!H26,IF($E$7="Semana 2",'Semana 2'!H26,IF($E$7="Semana 3",'Semana 3'!H26,IF($E$7="Semana 4",'Semana 4'!H26,FALSE))))</f>
        <v>0:00</v>
      </c>
      <c r="AD27" s="54" t="str">
        <f>IF($E$7="Semana 1",'Semana 1'!I26,IF($E$7="Semana 2",'Semana 2'!I26,IF($E$7="Semana 3",'Semana 3'!I26,IF($E$7="Semana 4",'Semana 4'!I26,FALSE))))</f>
        <v>7:00</v>
      </c>
      <c r="AE27" s="54" t="str">
        <f>IF($E$7="Semana 1",'Semana 1'!J26,IF($E$7="Semana 2",'Semana 2'!J26,IF($E$7="Semana 3",'Semana 3'!J26,IF($E$7="Semana 4",'Semana 4'!J26,FALSE))))</f>
        <v>3:00</v>
      </c>
      <c r="AF27" s="54" t="str">
        <f>IF($E$7="Semana 1",'Semana 1'!K26,IF($E$7="Semana 2",'Semana 2'!K26,IF($E$7="Semana 3",'Semana 3'!K26,IF($E$7="Semana 4",'Semana 4'!K26,FALSE))))</f>
        <v>3:30</v>
      </c>
      <c r="AG27" s="54" t="str">
        <f>IF($E$7="Semana 1",'Semana 1'!L26,IF($E$7="Semana 2",'Semana 2'!L26,IF($E$7="Semana 3",'Semana 3'!L26,IF($E$7="Semana 4",'Semana 4'!L26,FALSE))))</f>
        <v>3:30</v>
      </c>
      <c r="AH27" s="54" t="str">
        <f>IF($E$7="Semana 1",'Semana 1'!M26,IF($E$7="Semana 2",'Semana 2'!M26,IF($E$7="Semana 3",'Semana 3'!M26,IF($E$7="Semana 4",'Semana 4'!M26,FALSE))))</f>
        <v>3:50</v>
      </c>
      <c r="AI27" s="54" t="str">
        <f>IF($E$7="Semana 1",'Semana 1'!N26,IF($E$7="Semana 2",'Semana 2'!N26,IF($E$7="Semana 3",'Semana 3'!N26,IF($E$7="Semana 4",'Semana 4'!N26,FALSE))))</f>
        <v>3:50</v>
      </c>
      <c r="AJ27" s="54" t="str">
        <f>IF($E$7="Semana 1",'Semana 1'!O26,IF($E$7="Semana 2",'Semana 2'!O26,IF($E$7="Semana 3",'Semana 3'!O26,IF($E$7="Semana 4",'Semana 4'!O26,FALSE))))</f>
        <v>4:00</v>
      </c>
      <c r="AK27" s="55" t="str">
        <f>IF($E$7="Semana 1",'Semana 1'!P26,IF($E$7="Semana 2",'Semana 2'!P26,IF($E$7="Semana 3",'Semana 3'!P26,IF($E$7="Semana 4",'Semana 4'!P26,FALSE))))</f>
        <v>6.0</v>
      </c>
      <c r="AL27" s="54" t="str">
        <f>IF($E$7="Semana 1",'Semana 1'!Q26,IF($E$7="Semana 2",'Semana 2'!Q26,IF($E$7="Semana 3",'Semana 3'!Q26,IF($E$7="Semana 4",'Semana 4'!Q26,FALSE))))</f>
        <v>0:00</v>
      </c>
      <c r="AM27" s="54" t="str">
        <f>IF($E$7="Semana 1",'Semana 1'!R26,IF($E$7="Semana 2",'Semana 2'!R26,IF($E$7="Semana 3",'Semana 3'!R26,IF($E$7="Semana 4",'Semana 4'!R26,FALSE))))</f>
        <v>7:00</v>
      </c>
      <c r="AN27" s="54" t="str">
        <f>IF($E$7="Semana 1",'Semana 1'!S26,IF($E$7="Semana 2",'Semana 2'!S26,IF($E$7="Semana 3",'Semana 3'!S26,IF($E$7="Semana 4",'Semana 4'!S26,FALSE))))</f>
        <v>3:00</v>
      </c>
      <c r="AO27" s="54" t="str">
        <f>IF($E$7="Semana 1",'Semana 1'!T26,IF($E$7="Semana 2",'Semana 2'!T26,IF($E$7="Semana 3",'Semana 3'!T26,IF($E$7="Semana 4",'Semana 4'!T26,FALSE))))</f>
        <v>3:30</v>
      </c>
      <c r="AP27" s="54" t="str">
        <f>IF($E$7="Semana 1",'Semana 1'!U26,IF($E$7="Semana 2",'Semana 2'!U26,IF($E$7="Semana 3",'Semana 3'!U26,IF($E$7="Semana 4",'Semana 4'!U26,FALSE))))</f>
        <v>3:30</v>
      </c>
      <c r="AQ27" s="54" t="str">
        <f>IF($E$7="Semana 1",'Semana 1'!V26,IF($E$7="Semana 2",'Semana 2'!V26,IF($E$7="Semana 3",'Semana 3'!V26,IF($E$7="Semana 4",'Semana 4'!V26,FALSE))))</f>
        <v>3:50</v>
      </c>
      <c r="AR27" s="54" t="str">
        <f>IF($E$7="Semana 1",'Semana 1'!W26,IF($E$7="Semana 2",'Semana 2'!W26,IF($E$7="Semana 3",'Semana 3'!W26,IF($E$7="Semana 4",'Semana 4'!W26,FALSE))))</f>
        <v>3:50</v>
      </c>
      <c r="AS27" s="54" t="str">
        <f>IF($E$7="Semana 1",'Semana 1'!X26,IF($E$7="Semana 2",'Semana 2'!X26,IF($E$7="Semana 3",'Semana 3'!X26,IF($E$7="Semana 4",'Semana 4'!X26,FALSE))))</f>
        <v>4:00</v>
      </c>
      <c r="AT27" s="55" t="str">
        <f>IF($E$7="Semana 1",'Semana 1'!Y26,IF($E$7="Semana 2",'Semana 2'!Y26,IF($E$7="Semana 3",'Semana 3'!Y26,IF($E$7="Semana 4",'Semana 4'!Y26,FALSE))))</f>
        <v>6.0</v>
      </c>
      <c r="AU27" s="55" t="str">
        <f>IF($E$7="Semana 1",'Semana 1'!Z26,IF($E$7="Semana 2",'Semana 2'!Z26,IF($E$7="Semana 3",'Semana 3'!Z26,IF($E$7="Semana 4",'Semana 4'!Z26,FALSE))))</f>
        <v>6.0</v>
      </c>
      <c r="AV27" s="55" t="str">
        <f>IF($E$7="Semana 1",'Semana 1'!AA26,IF($E$7="Semana 2",'Semana 2'!AA26,IF($E$7="Semana 3",'Semana 3'!AA26,IF($E$7="Semana 4",'Semana 4'!AA26,FALSE))))</f>
        <v>6.0</v>
      </c>
      <c r="AW27" s="55" t="str">
        <f>IF($E$7="Semana 1",'Semana 1'!AB26,IF($E$7="Semana 2",'Semana 2'!AB26,IF($E$7="Semana 3",'Semana 3'!AB26,IF($E$7="Semana 4",'Semana 4'!AB26,FALSE))))</f>
        <v>6.0</v>
      </c>
      <c r="AX27" s="55" t="str">
        <f>IF($E$7="Semana 1",'Semana 1'!AC26,IF($E$7="Semana 2",'Semana 2'!AC26,IF($E$7="Semana 3",'Semana 3'!AC26,IF($E$7="Semana 4",'Semana 4'!AC26,FALSE))))</f>
        <v>6.0</v>
      </c>
      <c r="AY27" s="55" t="str">
        <f>IF($E$7="Semana 1",'Semana 1'!AD26,IF($E$7="Semana 2",'Semana 2'!AD26,IF($E$7="Semana 3",'Semana 3'!AD26,IF($E$7="Semana 4",'Semana 4'!AD26,FALSE))))</f>
        <v>36.0</v>
      </c>
    </row>
    <row r="28" ht="15.75" customHeight="1">
      <c r="N28" s="183"/>
      <c r="Y28" s="179" t="str">
        <f t="shared" si="1"/>
        <v>22</v>
      </c>
      <c r="Z28" s="180" t="str">
        <f>IF($E$7="Semana 1",'Semana 1'!E27,IF($E$7="Semana 2",'Semana 2'!E27,IF($E$7="Semana 3",'Semana 3'!E27,IF($E$7="Semana 4",'Semana 4'!E27,FALSE))))</f>
        <v>-</v>
      </c>
      <c r="AA28" s="180" t="str">
        <f>IF($E$7="Semana 1",'Semana 1'!F27,IF($E$7="Semana 2",'Semana 2'!F27,IF($E$7="Semana 3",'Semana 3'!F27,IF($E$7="Semana 4",'Semana 4'!F27,FALSE))))</f>
        <v>Semana 1</v>
      </c>
      <c r="AB28" s="180" t="str">
        <f>IF($E$7="Semana 1",'Semana 1'!G27,IF($E$7="Semana 2",'Semana 2'!G27,IF($E$7="Semana 3",'Semana 3'!G27,IF($E$7="Semana 4",'Semana 4'!G27,FALSE))))</f>
        <v>-</v>
      </c>
      <c r="AC28" s="51" t="str">
        <f>IF($E$7="Semana 1",'Semana 1'!H27,IF($E$7="Semana 2",'Semana 2'!H27,IF($E$7="Semana 3",'Semana 3'!H27,IF($E$7="Semana 4",'Semana 4'!H27,FALSE))))</f>
        <v/>
      </c>
      <c r="AD28" s="51" t="str">
        <f>IF($E$7="Semana 1",'Semana 1'!I27,IF($E$7="Semana 2",'Semana 2'!I27,IF($E$7="Semana 3",'Semana 3'!I27,IF($E$7="Semana 4",'Semana 4'!I27,FALSE))))</f>
        <v> </v>
      </c>
      <c r="AE28" s="51" t="str">
        <f>IF($E$7="Semana 1",'Semana 1'!J27,IF($E$7="Semana 2",'Semana 2'!J27,IF($E$7="Semana 3",'Semana 3'!J27,IF($E$7="Semana 4",'Semana 4'!J27,FALSE))))</f>
        <v/>
      </c>
      <c r="AF28" s="51" t="str">
        <f>IF($E$7="Semana 1",'Semana 1'!K27,IF($E$7="Semana 2",'Semana 2'!K27,IF($E$7="Semana 3",'Semana 3'!K27,IF($E$7="Semana 4",'Semana 4'!K27,FALSE))))</f>
        <v> - </v>
      </c>
      <c r="AG28" s="51" t="str">
        <f>IF($E$7="Semana 1",'Semana 1'!L27,IF($E$7="Semana 2",'Semana 2'!L27,IF($E$7="Semana 3",'Semana 3'!L27,IF($E$7="Semana 4",'Semana 4'!L27,FALSE))))</f>
        <v/>
      </c>
      <c r="AH28" s="51" t="str">
        <f>IF($E$7="Semana 1",'Semana 1'!M27,IF($E$7="Semana 2",'Semana 2'!M27,IF($E$7="Semana 3",'Semana 3'!M27,IF($E$7="Semana 4",'Semana 4'!M27,FALSE))))</f>
        <v> - </v>
      </c>
      <c r="AI28" s="51" t="str">
        <f>IF($E$7="Semana 1",'Semana 1'!N27,IF($E$7="Semana 2",'Semana 2'!N27,IF($E$7="Semana 3",'Semana 3'!N27,IF($E$7="Semana 4",'Semana 4'!N27,FALSE))))</f>
        <v/>
      </c>
      <c r="AJ28" s="51" t="str">
        <f>IF($E$7="Semana 1",'Semana 1'!O27,IF($E$7="Semana 2",'Semana 2'!O27,IF($E$7="Semana 3",'Semana 3'!O27,IF($E$7="Semana 4",'Semana 4'!O27,FALSE))))</f>
        <v> - </v>
      </c>
      <c r="AK28" s="52" t="str">
        <f>IF($E$7="Semana 1",'Semana 1'!P27,IF($E$7="Semana 2",'Semana 2'!P27,IF($E$7="Semana 3",'Semana 3'!P27,IF($E$7="Semana 4",'Semana 4'!P27,FALSE))))</f>
        <v>-1.0</v>
      </c>
      <c r="AL28" s="51" t="str">
        <f>IF($E$7="Semana 1",'Semana 1'!Q27,IF($E$7="Semana 2",'Semana 2'!Q27,IF($E$7="Semana 3",'Semana 3'!Q27,IF($E$7="Semana 4",'Semana 4'!Q27,FALSE))))</f>
        <v/>
      </c>
      <c r="AM28" s="51" t="str">
        <f>IF($E$7="Semana 1",'Semana 1'!R27,IF($E$7="Semana 2",'Semana 2'!R27,IF($E$7="Semana 3",'Semana 3'!R27,IF($E$7="Semana 4",'Semana 4'!R27,FALSE))))</f>
        <v> </v>
      </c>
      <c r="AN28" s="51" t="str">
        <f>IF($E$7="Semana 1",'Semana 1'!S27,IF($E$7="Semana 2",'Semana 2'!S27,IF($E$7="Semana 3",'Semana 3'!S27,IF($E$7="Semana 4",'Semana 4'!S27,FALSE))))</f>
        <v/>
      </c>
      <c r="AO28" s="51" t="str">
        <f>IF($E$7="Semana 1",'Semana 1'!T27,IF($E$7="Semana 2",'Semana 2'!T27,IF($E$7="Semana 3",'Semana 3'!T27,IF($E$7="Semana 4",'Semana 4'!T27,FALSE))))</f>
        <v/>
      </c>
      <c r="AP28" s="51" t="str">
        <f>IF($E$7="Semana 1",'Semana 1'!U27,IF($E$7="Semana 2",'Semana 2'!U27,IF($E$7="Semana 3",'Semana 3'!U27,IF($E$7="Semana 4",'Semana 4'!U27,FALSE))))</f>
        <v/>
      </c>
      <c r="AQ28" s="51" t="str">
        <f>IF($E$7="Semana 1",'Semana 1'!V27,IF($E$7="Semana 2",'Semana 2'!V27,IF($E$7="Semana 3",'Semana 3'!V27,IF($E$7="Semana 4",'Semana 4'!V27,FALSE))))</f>
        <v/>
      </c>
      <c r="AR28" s="51" t="str">
        <f>IF($E$7="Semana 1",'Semana 1'!W27,IF($E$7="Semana 2",'Semana 2'!W27,IF($E$7="Semana 3",'Semana 3'!W27,IF($E$7="Semana 4",'Semana 4'!W27,FALSE))))</f>
        <v/>
      </c>
      <c r="AS28" s="51" t="str">
        <f>IF($E$7="Semana 1",'Semana 1'!X27,IF($E$7="Semana 2",'Semana 2'!X27,IF($E$7="Semana 3",'Semana 3'!X27,IF($E$7="Semana 4",'Semana 4'!X27,FALSE))))</f>
        <v/>
      </c>
      <c r="AT28" s="52" t="str">
        <f>IF($E$7="Semana 1",'Semana 1'!Y27,IF($E$7="Semana 2",'Semana 2'!Y27,IF($E$7="Semana 3",'Semana 3'!Y27,IF($E$7="Semana 4",'Semana 4'!Y27,FALSE))))</f>
        <v>0.0</v>
      </c>
      <c r="AU28" s="52" t="str">
        <f>IF($E$7="Semana 1",'Semana 1'!Z27,IF($E$7="Semana 2",'Semana 2'!Z27,IF($E$7="Semana 3",'Semana 3'!Z27,IF($E$7="Semana 4",'Semana 4'!Z27,FALSE))))</f>
        <v>-1.0</v>
      </c>
      <c r="AV28" s="52" t="str">
        <f>IF($E$7="Semana 1",'Semana 1'!AA27,IF($E$7="Semana 2",'Semana 2'!AA27,IF($E$7="Semana 3",'Semana 3'!AA27,IF($E$7="Semana 4",'Semana 4'!AA27,FALSE))))</f>
        <v>-1.0</v>
      </c>
      <c r="AW28" s="52" t="str">
        <f>IF($E$7="Semana 1",'Semana 1'!AB27,IF($E$7="Semana 2",'Semana 2'!AB27,IF($E$7="Semana 3",'Semana 3'!AB27,IF($E$7="Semana 4",'Semana 4'!AB27,FALSE))))</f>
        <v>-1.0</v>
      </c>
      <c r="AX28" s="52" t="str">
        <f>IF($E$7="Semana 1",'Semana 1'!AC27,IF($E$7="Semana 2",'Semana 2'!AC27,IF($E$7="Semana 3",'Semana 3'!AC27,IF($E$7="Semana 4",'Semana 4'!AC27,FALSE))))</f>
        <v>-1.0</v>
      </c>
      <c r="AY28" s="52" t="str">
        <f>IF($E$7="Semana 1",'Semana 1'!AD27,IF($E$7="Semana 2",'Semana 2'!AD27,IF($E$7="Semana 3",'Semana 3'!AD27,IF($E$7="Semana 4",'Semana 4'!AD27,FALSE))))</f>
        <v>-5.0</v>
      </c>
    </row>
    <row r="29" ht="15.75" customHeight="1">
      <c r="N29" s="183"/>
      <c r="Y29" s="18" t="str">
        <f t="shared" si="1"/>
        <v>23</v>
      </c>
      <c r="Z29" s="19" t="str">
        <f>IF($E$7="Semana 1",'Semana 1'!E28,IF($E$7="Semana 2",'Semana 2'!E28,IF($E$7="Semana 3",'Semana 3'!E28,IF($E$7="Semana 4",'Semana 4'!E28,FALSE))))</f>
        <v>Byron Abdiel Santos Mejia</v>
      </c>
      <c r="AA29" s="19" t="str">
        <f>IF($E$7="Semana 1",'Semana 1'!F28,IF($E$7="Semana 2",'Semana 2'!F28,IF($E$7="Semana 3",'Semana 3'!F28,IF($E$7="Semana 4",'Semana 4'!F28,FALSE))))</f>
        <v>Semana 1</v>
      </c>
      <c r="AB29" s="19" t="str">
        <f>IF($E$7="Semana 1",'Semana 1'!G28,IF($E$7="Semana 2",'Semana 2'!G28,IF($E$7="Semana 3",'Semana 3'!G28,IF($E$7="Semana 4",'Semana 4'!G28,FALSE))))</f>
        <v>AGENTE</v>
      </c>
      <c r="AC29" s="54" t="str">
        <f>IF($E$7="Semana 1",'Semana 1'!H28,IF($E$7="Semana 2",'Semana 2'!H28,IF($E$7="Semana 3",'Semana 3'!H28,IF($E$7="Semana 4",'Semana 4'!H28,FALSE))))</f>
        <v>9:00</v>
      </c>
      <c r="AD29" s="54" t="str">
        <f>IF($E$7="Semana 1",'Semana 1'!I28,IF($E$7="Semana 2",'Semana 2'!I28,IF($E$7="Semana 3",'Semana 3'!I28,IF($E$7="Semana 4",'Semana 4'!I28,FALSE))))</f>
        <v>18:00</v>
      </c>
      <c r="AE29" s="54" t="str">
        <f>IF($E$7="Semana 1",'Semana 1'!J28,IF($E$7="Semana 2",'Semana 2'!J28,IF($E$7="Semana 3",'Semana 3'!J28,IF($E$7="Semana 4",'Semana 4'!J28,FALSE))))</f>
        <v>15:00</v>
      </c>
      <c r="AF29" s="54" t="str">
        <f>IF($E$7="Semana 1",'Semana 1'!K28,IF($E$7="Semana 2",'Semana 2'!K28,IF($E$7="Semana 3",'Semana 3'!K28,IF($E$7="Semana 4",'Semana 4'!K28,FALSE))))</f>
        <v>16:00</v>
      </c>
      <c r="AG29" s="54" t="str">
        <f>IF($E$7="Semana 1",'Semana 1'!L28,IF($E$7="Semana 2",'Semana 2'!L28,IF($E$7="Semana 3",'Semana 3'!L28,IF($E$7="Semana 4",'Semana 4'!L28,FALSE))))</f>
        <v>7:00</v>
      </c>
      <c r="AH29" s="54" t="str">
        <f>IF($E$7="Semana 1",'Semana 1'!M28,IF($E$7="Semana 2",'Semana 2'!M28,IF($E$7="Semana 3",'Semana 3'!M28,IF($E$7="Semana 4",'Semana 4'!M28,FALSE))))</f>
        <v>7:20</v>
      </c>
      <c r="AI29" s="54" t="str">
        <f>IF($E$7="Semana 1",'Semana 1'!N28,IF($E$7="Semana 2",'Semana 2'!N28,IF($E$7="Semana 3",'Semana 3'!N28,IF($E$7="Semana 4",'Semana 4'!N28,FALSE))))</f>
        <v>17:15</v>
      </c>
      <c r="AJ29" s="54" t="str">
        <f>IF($E$7="Semana 1",'Semana 1'!O28,IF($E$7="Semana 2",'Semana 2'!O28,IF($E$7="Semana 3",'Semana 3'!O28,IF($E$7="Semana 4",'Semana 4'!O28,FALSE))))</f>
        <v>17:25</v>
      </c>
      <c r="AK29" s="55" t="str">
        <f>IF($E$7="Semana 1",'Semana 1'!P28,IF($E$7="Semana 2",'Semana 2'!P28,IF($E$7="Semana 3",'Semana 3'!P28,IF($E$7="Semana 4",'Semana 4'!P28,FALSE))))</f>
        <v>8.0</v>
      </c>
      <c r="AL29" s="54" t="str">
        <f>IF($E$7="Semana 1",'Semana 1'!Q28,IF($E$7="Semana 2",'Semana 2'!Q28,IF($E$7="Semana 3",'Semana 3'!Q28,IF($E$7="Semana 4",'Semana 4'!Q28,FALSE))))</f>
        <v>9:00</v>
      </c>
      <c r="AM29" s="54" t="str">
        <f>IF($E$7="Semana 1",'Semana 1'!R28,IF($E$7="Semana 2",'Semana 2'!R28,IF($E$7="Semana 3",'Semana 3'!R28,IF($E$7="Semana 4",'Semana 4'!R28,FALSE))))</f>
        <v>14:00</v>
      </c>
      <c r="AN29" s="54" t="str">
        <f>IF($E$7="Semana 1",'Semana 1'!S28,IF($E$7="Semana 2",'Semana 2'!S28,IF($E$7="Semana 3",'Semana 3'!S28,IF($E$7="Semana 4",'Semana 4'!S28,FALSE))))</f>
        <v/>
      </c>
      <c r="AO29" s="54" t="str">
        <f>IF($E$7="Semana 1",'Semana 1'!T28,IF($E$7="Semana 2",'Semana 2'!T28,IF($E$7="Semana 3",'Semana 3'!T28,IF($E$7="Semana 4",'Semana 4'!T28,FALSE))))</f>
        <v/>
      </c>
      <c r="AP29" s="54" t="str">
        <f>IF($E$7="Semana 1",'Semana 1'!U28,IF($E$7="Semana 2",'Semana 2'!U28,IF($E$7="Semana 3",'Semana 3'!U28,IF($E$7="Semana 4",'Semana 4'!U28,FALSE))))</f>
        <v>9:03</v>
      </c>
      <c r="AQ29" s="54" t="str">
        <f>IF($E$7="Semana 1",'Semana 1'!V28,IF($E$7="Semana 2",'Semana 2'!V28,IF($E$7="Semana 3",'Semana 3'!V28,IF($E$7="Semana 4",'Semana 4'!V28,FALSE))))</f>
        <v>9:17</v>
      </c>
      <c r="AR29" s="54" t="str">
        <f>IF($E$7="Semana 1",'Semana 1'!W28,IF($E$7="Semana 2",'Semana 2'!W28,IF($E$7="Semana 3",'Semana 3'!W28,IF($E$7="Semana 4",'Semana 4'!W28,FALSE))))</f>
        <v/>
      </c>
      <c r="AS29" s="54" t="str">
        <f>IF($E$7="Semana 1",'Semana 1'!X28,IF($E$7="Semana 2",'Semana 2'!X28,IF($E$7="Semana 3",'Semana 3'!X28,IF($E$7="Semana 4",'Semana 4'!X28,FALSE))))</f>
        <v/>
      </c>
      <c r="AT29" s="55" t="str">
        <f>IF($E$7="Semana 1",'Semana 1'!Y28,IF($E$7="Semana 2",'Semana 2'!Y28,IF($E$7="Semana 3",'Semana 3'!Y28,IF($E$7="Semana 4",'Semana 4'!Y28,FALSE))))</f>
        <v>5.0</v>
      </c>
      <c r="AU29" s="55" t="str">
        <f>IF($E$7="Semana 1",'Semana 1'!Z28,IF($E$7="Semana 2",'Semana 2'!Z28,IF($E$7="Semana 3",'Semana 3'!Z28,IF($E$7="Semana 4",'Semana 4'!Z28,FALSE))))</f>
        <v>8.0</v>
      </c>
      <c r="AV29" s="55" t="str">
        <f>IF($E$7="Semana 1",'Semana 1'!AA28,IF($E$7="Semana 2",'Semana 2'!AA28,IF($E$7="Semana 3",'Semana 3'!AA28,IF($E$7="Semana 4",'Semana 4'!AA28,FALSE))))</f>
        <v>8.0</v>
      </c>
      <c r="AW29" s="55" t="str">
        <f>IF($E$7="Semana 1",'Semana 1'!AB28,IF($E$7="Semana 2",'Semana 2'!AB28,IF($E$7="Semana 3",'Semana 3'!AB28,IF($E$7="Semana 4",'Semana 4'!AB28,FALSE))))</f>
        <v>8.0</v>
      </c>
      <c r="AX29" s="55" t="str">
        <f>IF($E$7="Semana 1",'Semana 1'!AC28,IF($E$7="Semana 2",'Semana 2'!AC28,IF($E$7="Semana 3",'Semana 3'!AC28,IF($E$7="Semana 4",'Semana 4'!AC28,FALSE))))</f>
        <v>8.0</v>
      </c>
      <c r="AY29" s="55" t="str">
        <f>IF($E$7="Semana 1",'Semana 1'!AD28,IF($E$7="Semana 2",'Semana 2'!AD28,IF($E$7="Semana 3",'Semana 3'!AD28,IF($E$7="Semana 4",'Semana 4'!AD28,FALSE))))</f>
        <v>45.1</v>
      </c>
    </row>
    <row r="30" ht="15.75" customHeight="1">
      <c r="N30" s="183"/>
      <c r="Y30" s="179" t="str">
        <f t="shared" si="1"/>
        <v>24</v>
      </c>
      <c r="Z30" s="180" t="str">
        <f>IF($E$7="Semana 1",'Semana 1'!E29,IF($E$7="Semana 2",'Semana 2'!E29,IF($E$7="Semana 3",'Semana 3'!E29,IF($E$7="Semana 4",'Semana 4'!E29,FALSE))))</f>
        <v>Karen Lisbeth Vega Ramirez</v>
      </c>
      <c r="AA30" s="180" t="str">
        <f>IF($E$7="Semana 1",'Semana 1'!F29,IF($E$7="Semana 2",'Semana 2'!F29,IF($E$7="Semana 3",'Semana 3'!F29,IF($E$7="Semana 4",'Semana 4'!F29,FALSE))))</f>
        <v>Semana 1</v>
      </c>
      <c r="AB30" s="180" t="str">
        <f>IF($E$7="Semana 1",'Semana 1'!G29,IF($E$7="Semana 2",'Semana 2'!G29,IF($E$7="Semana 3",'Semana 3'!G29,IF($E$7="Semana 4",'Semana 4'!G29,FALSE))))</f>
        <v>REDES</v>
      </c>
      <c r="AC30" s="51" t="str">
        <f>IF($E$7="Semana 1",'Semana 1'!H29,IF($E$7="Semana 2",'Semana 2'!H29,IF($E$7="Semana 3",'Semana 3'!H29,IF($E$7="Semana 4",'Semana 4'!H29,FALSE))))</f>
        <v>9:00</v>
      </c>
      <c r="AD30" s="51" t="str">
        <f>IF($E$7="Semana 1",'Semana 1'!I29,IF($E$7="Semana 2",'Semana 2'!I29,IF($E$7="Semana 3",'Semana 3'!I29,IF($E$7="Semana 4",'Semana 4'!I29,FALSE))))</f>
        <v>18:00</v>
      </c>
      <c r="AE30" s="51" t="str">
        <f>IF($E$7="Semana 1",'Semana 1'!J29,IF($E$7="Semana 2",'Semana 2'!J29,IF($E$7="Semana 3",'Semana 3'!J29,IF($E$7="Semana 4",'Semana 4'!J29,FALSE))))</f>
        <v>12:00</v>
      </c>
      <c r="AF30" s="51" t="str">
        <f>IF($E$7="Semana 1",'Semana 1'!K29,IF($E$7="Semana 2",'Semana 2'!K29,IF($E$7="Semana 3",'Semana 3'!K29,IF($E$7="Semana 4",'Semana 4'!K29,FALSE))))</f>
        <v>13:00</v>
      </c>
      <c r="AG30" s="51" t="str">
        <f>IF($E$7="Semana 1",'Semana 1'!L29,IF($E$7="Semana 2",'Semana 2'!L29,IF($E$7="Semana 3",'Semana 3'!L29,IF($E$7="Semana 4",'Semana 4'!L29,FALSE))))</f>
        <v>11:00</v>
      </c>
      <c r="AH30" s="51" t="str">
        <f>IF($E$7="Semana 1",'Semana 1'!M29,IF($E$7="Semana 2",'Semana 2'!M29,IF($E$7="Semana 3",'Semana 3'!M29,IF($E$7="Semana 4",'Semana 4'!M29,FALSE))))</f>
        <v>11:20</v>
      </c>
      <c r="AI30" s="51" t="str">
        <f>IF($E$7="Semana 1",'Semana 1'!N29,IF($E$7="Semana 2",'Semana 2'!N29,IF($E$7="Semana 3",'Semana 3'!N29,IF($E$7="Semana 4",'Semana 4'!N29,FALSE))))</f>
        <v>15:50</v>
      </c>
      <c r="AJ30" s="51" t="str">
        <f>IF($E$7="Semana 1",'Semana 1'!O29,IF($E$7="Semana 2",'Semana 2'!O29,IF($E$7="Semana 3",'Semana 3'!O29,IF($E$7="Semana 4",'Semana 4'!O29,FALSE))))</f>
        <v>16:00</v>
      </c>
      <c r="AK30" s="52" t="str">
        <f>IF($E$7="Semana 1",'Semana 1'!P29,IF($E$7="Semana 2",'Semana 2'!P29,IF($E$7="Semana 3",'Semana 3'!P29,IF($E$7="Semana 4",'Semana 4'!P29,FALSE))))</f>
        <v>8.0</v>
      </c>
      <c r="AL30" s="51" t="str">
        <f>IF($E$7="Semana 1",'Semana 1'!Q29,IF($E$7="Semana 2",'Semana 2'!Q29,IF($E$7="Semana 3",'Semana 3'!Q29,IF($E$7="Semana 4",'Semana 4'!Q29,FALSE))))</f>
        <v>6:30</v>
      </c>
      <c r="AM30" s="51" t="str">
        <f>IF($E$7="Semana 1",'Semana 1'!R29,IF($E$7="Semana 2",'Semana 2'!R29,IF($E$7="Semana 3",'Semana 3'!R29,IF($E$7="Semana 4",'Semana 4'!R29,FALSE))))</f>
        <v>11:30</v>
      </c>
      <c r="AN30" s="53" t="str">
        <f>IF($E$7="Semana 1",'Semana 1'!S29,IF($E$7="Semana 2",'Semana 2'!S29,IF($E$7="Semana 3",'Semana 3'!S29,IF($E$7="Semana 4",'Semana 4'!S29,FALSE))))</f>
        <v/>
      </c>
      <c r="AO30" s="53" t="str">
        <f>IF($E$7="Semana 1",'Semana 1'!T29,IF($E$7="Semana 2",'Semana 2'!T29,IF($E$7="Semana 3",'Semana 3'!T29,IF($E$7="Semana 4",'Semana 4'!T29,FALSE))))</f>
        <v/>
      </c>
      <c r="AP30" s="51" t="str">
        <f>IF($E$7="Semana 1",'Semana 1'!U29,IF($E$7="Semana 2",'Semana 2'!U29,IF($E$7="Semana 3",'Semana 3'!U29,IF($E$7="Semana 4",'Semana 4'!U29,FALSE))))</f>
        <v>8:00</v>
      </c>
      <c r="AQ30" s="51" t="str">
        <f>IF($E$7="Semana 1",'Semana 1'!V29,IF($E$7="Semana 2",'Semana 2'!V29,IF($E$7="Semana 3",'Semana 3'!V29,IF($E$7="Semana 4",'Semana 4'!V29,FALSE))))</f>
        <v>8:30</v>
      </c>
      <c r="AR30" s="53" t="str">
        <f>IF($E$7="Semana 1",'Semana 1'!W29,IF($E$7="Semana 2",'Semana 2'!W29,IF($E$7="Semana 3",'Semana 3'!W29,IF($E$7="Semana 4",'Semana 4'!W29,FALSE))))</f>
        <v/>
      </c>
      <c r="AS30" s="53" t="str">
        <f>IF($E$7="Semana 1",'Semana 1'!X29,IF($E$7="Semana 2",'Semana 2'!X29,IF($E$7="Semana 3",'Semana 3'!X29,IF($E$7="Semana 4",'Semana 4'!X29,FALSE))))</f>
        <v/>
      </c>
      <c r="AT30" s="52" t="str">
        <f>IF($E$7="Semana 1",'Semana 1'!Y29,IF($E$7="Semana 2",'Semana 2'!Y29,IF($E$7="Semana 3",'Semana 3'!Y29,IF($E$7="Semana 4",'Semana 4'!Y29,FALSE))))</f>
        <v>5.0</v>
      </c>
      <c r="AU30" s="52" t="str">
        <f>IF($E$7="Semana 1",'Semana 1'!Z29,IF($E$7="Semana 2",'Semana 2'!Z29,IF($E$7="Semana 3",'Semana 3'!Z29,IF($E$7="Semana 4",'Semana 4'!Z29,FALSE))))</f>
        <v>8.0</v>
      </c>
      <c r="AV30" s="52" t="str">
        <f>IF($E$7="Semana 1",'Semana 1'!AA29,IF($E$7="Semana 2",'Semana 2'!AA29,IF($E$7="Semana 3",'Semana 3'!AA29,IF($E$7="Semana 4",'Semana 4'!AA29,FALSE))))</f>
        <v>8.0</v>
      </c>
      <c r="AW30" s="52" t="str">
        <f>IF($E$7="Semana 1",'Semana 1'!AB29,IF($E$7="Semana 2",'Semana 2'!AB29,IF($E$7="Semana 3",'Semana 3'!AB29,IF($E$7="Semana 4",'Semana 4'!AB29,FALSE))))</f>
        <v>8.0</v>
      </c>
      <c r="AX30" s="52" t="str">
        <f>IF($E$7="Semana 1",'Semana 1'!AC29,IF($E$7="Semana 2",'Semana 2'!AC29,IF($E$7="Semana 3",'Semana 3'!AC29,IF($E$7="Semana 4",'Semana 4'!AC29,FALSE))))</f>
        <v>8.0</v>
      </c>
      <c r="AY30" s="52" t="str">
        <f>IF($E$7="Semana 1",'Semana 1'!AD29,IF($E$7="Semana 2",'Semana 2'!AD29,IF($E$7="Semana 3",'Semana 3'!AD29,IF($E$7="Semana 4",'Semana 4'!AD29,FALSE))))</f>
        <v>45.1</v>
      </c>
    </row>
    <row r="31" ht="15.75" customHeight="1">
      <c r="N31" s="183"/>
      <c r="Y31" s="18" t="str">
        <f t="shared" si="1"/>
        <v>25</v>
      </c>
      <c r="Z31" s="19" t="str">
        <f>IF($E$7="Semana 1",'Semana 1'!E30,IF($E$7="Semana 2",'Semana 2'!E30,IF($E$7="Semana 3",'Semana 3'!E30,IF($E$7="Semana 4",'Semana 4'!E30,FALSE))))</f>
        <v>Osiris Azucena Leiva Leon</v>
      </c>
      <c r="AA31" s="19" t="str">
        <f>IF($E$7="Semana 1",'Semana 1'!F30,IF($E$7="Semana 2",'Semana 2'!F30,IF($E$7="Semana 3",'Semana 3'!F30,IF($E$7="Semana 4",'Semana 4'!F30,FALSE))))</f>
        <v>Semana 1</v>
      </c>
      <c r="AB31" s="19" t="str">
        <f>IF($E$7="Semana 1",'Semana 1'!G30,IF($E$7="Semana 2",'Semana 2'!G30,IF($E$7="Semana 3",'Semana 3'!G30,IF($E$7="Semana 4",'Semana 4'!G30,FALSE))))</f>
        <v>AGENTE</v>
      </c>
      <c r="AC31" s="54" t="str">
        <f>IF($E$7="Semana 1",'Semana 1'!H30,IF($E$7="Semana 2",'Semana 2'!H30,IF($E$7="Semana 3",'Semana 3'!H30,IF($E$7="Semana 4",'Semana 4'!H30,FALSE))))</f>
        <v>7:00</v>
      </c>
      <c r="AD31" s="54" t="str">
        <f>IF($E$7="Semana 1",'Semana 1'!I30,IF($E$7="Semana 2",'Semana 2'!I30,IF($E$7="Semana 3",'Semana 3'!I30,IF($E$7="Semana 4",'Semana 4'!I30,FALSE))))</f>
        <v>16:00</v>
      </c>
      <c r="AE31" s="54" t="str">
        <f>IF($E$7="Semana 1",'Semana 1'!J30,IF($E$7="Semana 2",'Semana 2'!J30,IF($E$7="Semana 3",'Semana 3'!J30,IF($E$7="Semana 4",'Semana 4'!J30,FALSE))))</f>
        <v>12:00</v>
      </c>
      <c r="AF31" s="54" t="str">
        <f>IF($E$7="Semana 1",'Semana 1'!K30,IF($E$7="Semana 2",'Semana 2'!K30,IF($E$7="Semana 3",'Semana 3'!K30,IF($E$7="Semana 4",'Semana 4'!K30,FALSE))))</f>
        <v>13:00</v>
      </c>
      <c r="AG31" s="54" t="str">
        <f>IF($E$7="Semana 1",'Semana 1'!L30,IF($E$7="Semana 2",'Semana 2'!L30,IF($E$7="Semana 3",'Semana 3'!L30,IF($E$7="Semana 4",'Semana 4'!L30,FALSE))))</f>
        <v>8:30</v>
      </c>
      <c r="AH31" s="54" t="str">
        <f>IF($E$7="Semana 1",'Semana 1'!M30,IF($E$7="Semana 2",'Semana 2'!M30,IF($E$7="Semana 3",'Semana 3'!M30,IF($E$7="Semana 4",'Semana 4'!M30,FALSE))))</f>
        <v>8:50</v>
      </c>
      <c r="AI31" s="54" t="str">
        <f>IF($E$7="Semana 1",'Semana 1'!N30,IF($E$7="Semana 2",'Semana 2'!N30,IF($E$7="Semana 3",'Semana 3'!N30,IF($E$7="Semana 4",'Semana 4'!N30,FALSE))))</f>
        <v>15:45</v>
      </c>
      <c r="AJ31" s="54" t="str">
        <f>IF($E$7="Semana 1",'Semana 1'!O30,IF($E$7="Semana 2",'Semana 2'!O30,IF($E$7="Semana 3",'Semana 3'!O30,IF($E$7="Semana 4",'Semana 4'!O30,FALSE))))</f>
        <v>15:55</v>
      </c>
      <c r="AK31" s="55" t="str">
        <f>IF($E$7="Semana 1",'Semana 1'!P30,IF($E$7="Semana 2",'Semana 2'!P30,IF($E$7="Semana 3",'Semana 3'!P30,IF($E$7="Semana 4",'Semana 4'!P30,FALSE))))</f>
        <v>8.0</v>
      </c>
      <c r="AL31" s="54" t="str">
        <f>IF($E$7="Semana 1",'Semana 1'!Q30,IF($E$7="Semana 2",'Semana 2'!Q30,IF($E$7="Semana 3",'Semana 3'!Q30,IF($E$7="Semana 4",'Semana 4'!Q30,FALSE))))</f>
        <v>10:00</v>
      </c>
      <c r="AM31" s="54" t="str">
        <f>IF($E$7="Semana 1",'Semana 1'!R30,IF($E$7="Semana 2",'Semana 2'!R30,IF($E$7="Semana 3",'Semana 3'!R30,IF($E$7="Semana 4",'Semana 4'!R30,FALSE))))</f>
        <v>15:00</v>
      </c>
      <c r="AN31" s="56" t="str">
        <f>IF($E$7="Semana 1",'Semana 1'!S30,IF($E$7="Semana 2",'Semana 2'!S30,IF($E$7="Semana 3",'Semana 3'!S30,IF($E$7="Semana 4",'Semana 4'!S30,FALSE))))</f>
        <v/>
      </c>
      <c r="AO31" s="56" t="str">
        <f>IF($E$7="Semana 1",'Semana 1'!T30,IF($E$7="Semana 2",'Semana 2'!T30,IF($E$7="Semana 3",'Semana 3'!T30,IF($E$7="Semana 4",'Semana 4'!T30,FALSE))))</f>
        <v/>
      </c>
      <c r="AP31" s="54" t="str">
        <f>IF($E$7="Semana 1",'Semana 1'!U30,IF($E$7="Semana 2",'Semana 2'!U30,IF($E$7="Semana 3",'Semana 3'!U30,IF($E$7="Semana 4",'Semana 4'!U30,FALSE))))</f>
        <v>11:00</v>
      </c>
      <c r="AQ31" s="54" t="str">
        <f>IF($E$7="Semana 1",'Semana 1'!V30,IF($E$7="Semana 2",'Semana 2'!V30,IF($E$7="Semana 3",'Semana 3'!V30,IF($E$7="Semana 4",'Semana 4'!V30,FALSE))))</f>
        <v>11:30</v>
      </c>
      <c r="AR31" s="56" t="str">
        <f>IF($E$7="Semana 1",'Semana 1'!W30,IF($E$7="Semana 2",'Semana 2'!W30,IF($E$7="Semana 3",'Semana 3'!W30,IF($E$7="Semana 4",'Semana 4'!W30,FALSE))))</f>
        <v/>
      </c>
      <c r="AS31" s="56" t="str">
        <f>IF($E$7="Semana 1",'Semana 1'!X30,IF($E$7="Semana 2",'Semana 2'!X30,IF($E$7="Semana 3",'Semana 3'!X30,IF($E$7="Semana 4",'Semana 4'!X30,FALSE))))</f>
        <v/>
      </c>
      <c r="AT31" s="55" t="str">
        <f>IF($E$7="Semana 1",'Semana 1'!Y30,IF($E$7="Semana 2",'Semana 2'!Y30,IF($E$7="Semana 3",'Semana 3'!Y30,IF($E$7="Semana 4",'Semana 4'!Y30,FALSE))))</f>
        <v>5.0</v>
      </c>
      <c r="AU31" s="55" t="str">
        <f>IF($E$7="Semana 1",'Semana 1'!Z30,IF($E$7="Semana 2",'Semana 2'!Z30,IF($E$7="Semana 3",'Semana 3'!Z30,IF($E$7="Semana 4",'Semana 4'!Z30,FALSE))))</f>
        <v>8.0</v>
      </c>
      <c r="AV31" s="55" t="str">
        <f>IF($E$7="Semana 1",'Semana 1'!AA30,IF($E$7="Semana 2",'Semana 2'!AA30,IF($E$7="Semana 3",'Semana 3'!AA30,IF($E$7="Semana 4",'Semana 4'!AA30,FALSE))))</f>
        <v>8.0</v>
      </c>
      <c r="AW31" s="55" t="str">
        <f>IF($E$7="Semana 1",'Semana 1'!AB30,IF($E$7="Semana 2",'Semana 2'!AB30,IF($E$7="Semana 3",'Semana 3'!AB30,IF($E$7="Semana 4",'Semana 4'!AB30,FALSE))))</f>
        <v>8.0</v>
      </c>
      <c r="AX31" s="55" t="str">
        <f>IF($E$7="Semana 1",'Semana 1'!AC30,IF($E$7="Semana 2",'Semana 2'!AC30,IF($E$7="Semana 3",'Semana 3'!AC30,IF($E$7="Semana 4",'Semana 4'!AC30,FALSE))))</f>
        <v>8.0</v>
      </c>
      <c r="AY31" s="55" t="str">
        <f>IF($E$7="Semana 1",'Semana 1'!AD30,IF($E$7="Semana 2",'Semana 2'!AD30,IF($E$7="Semana 3",'Semana 3'!AD30,IF($E$7="Semana 4",'Semana 4'!AD30,FALSE))))</f>
        <v>45.1</v>
      </c>
    </row>
    <row r="32" ht="15.75" customHeight="1">
      <c r="N32" s="183"/>
      <c r="Y32" s="179" t="str">
        <f t="shared" si="1"/>
        <v>26</v>
      </c>
      <c r="Z32" s="180" t="str">
        <f>IF($E$7="Semana 1",'Semana 1'!E31,IF($E$7="Semana 2",'Semana 2'!E31,IF($E$7="Semana 3",'Semana 3'!E31,IF($E$7="Semana 4",'Semana 4'!E31,FALSE))))</f>
        <v>Gabriela Abigail Guzman Diaz</v>
      </c>
      <c r="AA32" s="180" t="str">
        <f>IF($E$7="Semana 1",'Semana 1'!F31,IF($E$7="Semana 2",'Semana 2'!F31,IF($E$7="Semana 3",'Semana 3'!F31,IF($E$7="Semana 4",'Semana 4'!F31,FALSE))))</f>
        <v>Semana 1</v>
      </c>
      <c r="AB32" s="180" t="str">
        <f>IF($E$7="Semana 1",'Semana 1'!G31,IF($E$7="Semana 2",'Semana 2'!G31,IF($E$7="Semana 3",'Semana 3'!G31,IF($E$7="Semana 4",'Semana 4'!G31,FALSE))))</f>
        <v>SOPORTE</v>
      </c>
      <c r="AC32" s="51" t="str">
        <f>IF($E$7="Semana 1",'Semana 1'!H31,IF($E$7="Semana 2",'Semana 2'!H31,IF($E$7="Semana 3",'Semana 3'!H31,IF($E$7="Semana 4",'Semana 4'!H31,FALSE))))</f>
        <v/>
      </c>
      <c r="AD32" s="51" t="str">
        <f>IF($E$7="Semana 1",'Semana 1'!I31,IF($E$7="Semana 2",'Semana 2'!I31,IF($E$7="Semana 3",'Semana 3'!I31,IF($E$7="Semana 4",'Semana 4'!I31,FALSE))))</f>
        <v> </v>
      </c>
      <c r="AE32" s="51" t="str">
        <f>IF($E$7="Semana 1",'Semana 1'!J31,IF($E$7="Semana 2",'Semana 2'!J31,IF($E$7="Semana 3",'Semana 3'!J31,IF($E$7="Semana 4",'Semana 4'!J31,FALSE))))</f>
        <v/>
      </c>
      <c r="AF32" s="51" t="str">
        <f>IF($E$7="Semana 1",'Semana 1'!K31,IF($E$7="Semana 2",'Semana 2'!K31,IF($E$7="Semana 3",'Semana 3'!K31,IF($E$7="Semana 4",'Semana 4'!K31,FALSE))))</f>
        <v> - </v>
      </c>
      <c r="AG32" s="51" t="str">
        <f>IF($E$7="Semana 1",'Semana 1'!L31,IF($E$7="Semana 2",'Semana 2'!L31,IF($E$7="Semana 3",'Semana 3'!L31,IF($E$7="Semana 4",'Semana 4'!L31,FALSE))))</f>
        <v/>
      </c>
      <c r="AH32" s="51" t="str">
        <f>IF($E$7="Semana 1",'Semana 1'!M31,IF($E$7="Semana 2",'Semana 2'!M31,IF($E$7="Semana 3",'Semana 3'!M31,IF($E$7="Semana 4",'Semana 4'!M31,FALSE))))</f>
        <v> - </v>
      </c>
      <c r="AI32" s="51" t="str">
        <f>IF($E$7="Semana 1",'Semana 1'!N31,IF($E$7="Semana 2",'Semana 2'!N31,IF($E$7="Semana 3",'Semana 3'!N31,IF($E$7="Semana 4",'Semana 4'!N31,FALSE))))</f>
        <v/>
      </c>
      <c r="AJ32" s="51" t="str">
        <f>IF($E$7="Semana 1",'Semana 1'!O31,IF($E$7="Semana 2",'Semana 2'!O31,IF($E$7="Semana 3",'Semana 3'!O31,IF($E$7="Semana 4",'Semana 4'!O31,FALSE))))</f>
        <v> - </v>
      </c>
      <c r="AK32" s="52" t="str">
        <f>IF($E$7="Semana 1",'Semana 1'!P31,IF($E$7="Semana 2",'Semana 2'!P31,IF($E$7="Semana 3",'Semana 3'!P31,IF($E$7="Semana 4",'Semana 4'!P31,FALSE))))</f>
        <v>-1.0</v>
      </c>
      <c r="AL32" s="51" t="str">
        <f>IF($E$7="Semana 1",'Semana 1'!Q31,IF($E$7="Semana 2",'Semana 2'!Q31,IF($E$7="Semana 3",'Semana 3'!Q31,IF($E$7="Semana 4",'Semana 4'!Q31,FALSE))))</f>
        <v/>
      </c>
      <c r="AM32" s="51" t="str">
        <f>IF($E$7="Semana 1",'Semana 1'!R31,IF($E$7="Semana 2",'Semana 2'!R31,IF($E$7="Semana 3",'Semana 3'!R31,IF($E$7="Semana 4",'Semana 4'!R31,FALSE))))</f>
        <v/>
      </c>
      <c r="AN32" s="53" t="str">
        <f>IF($E$7="Semana 1",'Semana 1'!S31,IF($E$7="Semana 2",'Semana 2'!S31,IF($E$7="Semana 3",'Semana 3'!S31,IF($E$7="Semana 4",'Semana 4'!S31,FALSE))))</f>
        <v/>
      </c>
      <c r="AO32" s="53" t="str">
        <f>IF($E$7="Semana 1",'Semana 1'!T31,IF($E$7="Semana 2",'Semana 2'!T31,IF($E$7="Semana 3",'Semana 3'!T31,IF($E$7="Semana 4",'Semana 4'!T31,FALSE))))</f>
        <v/>
      </c>
      <c r="AP32" s="51" t="str">
        <f>IF($E$7="Semana 1",'Semana 1'!U31,IF($E$7="Semana 2",'Semana 2'!U31,IF($E$7="Semana 3",'Semana 3'!U31,IF($E$7="Semana 4",'Semana 4'!U31,FALSE))))</f>
        <v/>
      </c>
      <c r="AQ32" s="51" t="str">
        <f>IF($E$7="Semana 1",'Semana 1'!V31,IF($E$7="Semana 2",'Semana 2'!V31,IF($E$7="Semana 3",'Semana 3'!V31,IF($E$7="Semana 4",'Semana 4'!V31,FALSE))))</f>
        <v/>
      </c>
      <c r="AR32" s="53" t="str">
        <f>IF($E$7="Semana 1",'Semana 1'!W31,IF($E$7="Semana 2",'Semana 2'!W31,IF($E$7="Semana 3",'Semana 3'!W31,IF($E$7="Semana 4",'Semana 4'!W31,FALSE))))</f>
        <v/>
      </c>
      <c r="AS32" s="53" t="str">
        <f>IF($E$7="Semana 1",'Semana 1'!X31,IF($E$7="Semana 2",'Semana 2'!X31,IF($E$7="Semana 3",'Semana 3'!X31,IF($E$7="Semana 4",'Semana 4'!X31,FALSE))))</f>
        <v/>
      </c>
      <c r="AT32" s="52" t="str">
        <f>IF($E$7="Semana 1",'Semana 1'!Y31,IF($E$7="Semana 2",'Semana 2'!Y31,IF($E$7="Semana 3",'Semana 3'!Y31,IF($E$7="Semana 4",'Semana 4'!Y31,FALSE))))</f>
        <v>0.0</v>
      </c>
      <c r="AU32" s="52" t="str">
        <f>IF($E$7="Semana 1",'Semana 1'!Z31,IF($E$7="Semana 2",'Semana 2'!Z31,IF($E$7="Semana 3",'Semana 3'!Z31,IF($E$7="Semana 4",'Semana 4'!Z31,FALSE))))</f>
        <v>-1.0</v>
      </c>
      <c r="AV32" s="52" t="str">
        <f>IF($E$7="Semana 1",'Semana 1'!AA31,IF($E$7="Semana 2",'Semana 2'!AA31,IF($E$7="Semana 3",'Semana 3'!AA31,IF($E$7="Semana 4",'Semana 4'!AA31,FALSE))))</f>
        <v>-1.0</v>
      </c>
      <c r="AW32" s="52" t="str">
        <f>IF($E$7="Semana 1",'Semana 1'!AB31,IF($E$7="Semana 2",'Semana 2'!AB31,IF($E$7="Semana 3",'Semana 3'!AB31,IF($E$7="Semana 4",'Semana 4'!AB31,FALSE))))</f>
        <v>-1.0</v>
      </c>
      <c r="AX32" s="52" t="str">
        <f>IF($E$7="Semana 1",'Semana 1'!AC31,IF($E$7="Semana 2",'Semana 2'!AC31,IF($E$7="Semana 3",'Semana 3'!AC31,IF($E$7="Semana 4",'Semana 4'!AC31,FALSE))))</f>
        <v>-1.0</v>
      </c>
      <c r="AY32" s="52" t="str">
        <f>IF($E$7="Semana 1",'Semana 1'!AD31,IF($E$7="Semana 2",'Semana 2'!AD31,IF($E$7="Semana 3",'Semana 3'!AD31,IF($E$7="Semana 4",'Semana 4'!AD31,FALSE))))</f>
        <v>-5.0</v>
      </c>
    </row>
    <row r="33" ht="15.75" customHeight="1">
      <c r="N33" s="183"/>
      <c r="Y33" s="18" t="str">
        <f t="shared" si="1"/>
        <v>27</v>
      </c>
      <c r="Z33" s="19" t="str">
        <f>IF($E$7="Semana 1",'Semana 1'!E32,IF($E$7="Semana 2",'Semana 2'!E32,IF($E$7="Semana 3",'Semana 3'!E32,IF($E$7="Semana 4",'Semana 4'!E32,FALSE))))</f>
        <v>Consuelo Magali Herrarte Bautista</v>
      </c>
      <c r="AA33" s="19" t="str">
        <f>IF($E$7="Semana 1",'Semana 1'!F32,IF($E$7="Semana 2",'Semana 2'!F32,IF($E$7="Semana 3",'Semana 3'!F32,IF($E$7="Semana 4",'Semana 4'!F32,FALSE))))</f>
        <v>Semana 1</v>
      </c>
      <c r="AB33" s="19" t="str">
        <f>IF($E$7="Semana 1",'Semana 1'!G32,IF($E$7="Semana 2",'Semana 2'!G32,IF($E$7="Semana 3",'Semana 3'!G32,IF($E$7="Semana 4",'Semana 4'!G32,FALSE))))</f>
        <v>AGENTE</v>
      </c>
      <c r="AC33" s="54" t="str">
        <f>IF($E$7="Semana 1",'Semana 1'!H32,IF($E$7="Semana 2",'Semana 2'!H32,IF($E$7="Semana 3",'Semana 3'!H32,IF($E$7="Semana 4",'Semana 4'!H32,FALSE))))</f>
        <v>10:00</v>
      </c>
      <c r="AD33" s="54" t="str">
        <f>IF($E$7="Semana 1",'Semana 1'!I32,IF($E$7="Semana 2",'Semana 2'!I32,IF($E$7="Semana 3",'Semana 3'!I32,IF($E$7="Semana 4",'Semana 4'!I32,FALSE))))</f>
        <v>19:00</v>
      </c>
      <c r="AE33" s="54" t="str">
        <f>IF($E$7="Semana 1",'Semana 1'!J32,IF($E$7="Semana 2",'Semana 2'!J32,IF($E$7="Semana 3",'Semana 3'!J32,IF($E$7="Semana 4",'Semana 4'!J32,FALSE))))</f>
        <v>15:00</v>
      </c>
      <c r="AF33" s="54" t="str">
        <f>IF($E$7="Semana 1",'Semana 1'!K32,IF($E$7="Semana 2",'Semana 2'!K32,IF($E$7="Semana 3",'Semana 3'!K32,IF($E$7="Semana 4",'Semana 4'!K32,FALSE))))</f>
        <v>16:00</v>
      </c>
      <c r="AG33" s="54" t="str">
        <f>IF($E$7="Semana 1",'Semana 1'!L32,IF($E$7="Semana 2",'Semana 2'!L32,IF($E$7="Semana 3",'Semana 3'!L32,IF($E$7="Semana 4",'Semana 4'!L32,FALSE))))</f>
        <v>10:30</v>
      </c>
      <c r="AH33" s="54" t="str">
        <f>IF($E$7="Semana 1",'Semana 1'!M32,IF($E$7="Semana 2",'Semana 2'!M32,IF($E$7="Semana 3",'Semana 3'!M32,IF($E$7="Semana 4",'Semana 4'!M32,FALSE))))</f>
        <v>10:50</v>
      </c>
      <c r="AI33" s="54" t="str">
        <f>IF($E$7="Semana 1",'Semana 1'!N32,IF($E$7="Semana 2",'Semana 2'!N32,IF($E$7="Semana 3",'Semana 3'!N32,IF($E$7="Semana 4",'Semana 4'!N32,FALSE))))</f>
        <v>18:00</v>
      </c>
      <c r="AJ33" s="54" t="str">
        <f>IF($E$7="Semana 1",'Semana 1'!O32,IF($E$7="Semana 2",'Semana 2'!O32,IF($E$7="Semana 3",'Semana 3'!O32,IF($E$7="Semana 4",'Semana 4'!O32,FALSE))))</f>
        <v>18:10</v>
      </c>
      <c r="AK33" s="55" t="str">
        <f>IF($E$7="Semana 1",'Semana 1'!P32,IF($E$7="Semana 2",'Semana 2'!P32,IF($E$7="Semana 3",'Semana 3'!P32,IF($E$7="Semana 4",'Semana 4'!P32,FALSE))))</f>
        <v>8.0</v>
      </c>
      <c r="AL33" s="54" t="str">
        <f>IF($E$7="Semana 1",'Semana 1'!Q32,IF($E$7="Semana 2",'Semana 2'!Q32,IF($E$7="Semana 3",'Semana 3'!Q32,IF($E$7="Semana 4",'Semana 4'!Q32,FALSE))))</f>
        <v>10:00</v>
      </c>
      <c r="AM33" s="54" t="str">
        <f>IF($E$7="Semana 1",'Semana 1'!R32,IF($E$7="Semana 2",'Semana 2'!R32,IF($E$7="Semana 3",'Semana 3'!R32,IF($E$7="Semana 4",'Semana 4'!R32,FALSE))))</f>
        <v>15:00</v>
      </c>
      <c r="AN33" s="56" t="str">
        <f>IF($E$7="Semana 1",'Semana 1'!S32,IF($E$7="Semana 2",'Semana 2'!S32,IF($E$7="Semana 3",'Semana 3'!S32,IF($E$7="Semana 4",'Semana 4'!S32,FALSE))))</f>
        <v/>
      </c>
      <c r="AO33" s="56" t="str">
        <f>IF($E$7="Semana 1",'Semana 1'!T32,IF($E$7="Semana 2",'Semana 2'!T32,IF($E$7="Semana 3",'Semana 3'!T32,IF($E$7="Semana 4",'Semana 4'!T32,FALSE))))</f>
        <v/>
      </c>
      <c r="AP33" s="54" t="str">
        <f>IF($E$7="Semana 1",'Semana 1'!U32,IF($E$7="Semana 2",'Semana 2'!U32,IF($E$7="Semana 3",'Semana 3'!U32,IF($E$7="Semana 4",'Semana 4'!U32,FALSE))))</f>
        <v>11:30</v>
      </c>
      <c r="AQ33" s="54" t="str">
        <f>IF($E$7="Semana 1",'Semana 1'!V32,IF($E$7="Semana 2",'Semana 2'!V32,IF($E$7="Semana 3",'Semana 3'!V32,IF($E$7="Semana 4",'Semana 4'!V32,FALSE))))</f>
        <v>12:00</v>
      </c>
      <c r="AR33" s="56" t="str">
        <f>IF($E$7="Semana 1",'Semana 1'!W32,IF($E$7="Semana 2",'Semana 2'!W32,IF($E$7="Semana 3",'Semana 3'!W32,IF($E$7="Semana 4",'Semana 4'!W32,FALSE))))</f>
        <v/>
      </c>
      <c r="AS33" s="56" t="str">
        <f>IF($E$7="Semana 1",'Semana 1'!X32,IF($E$7="Semana 2",'Semana 2'!X32,IF($E$7="Semana 3",'Semana 3'!X32,IF($E$7="Semana 4",'Semana 4'!X32,FALSE))))</f>
        <v/>
      </c>
      <c r="AT33" s="55" t="str">
        <f>IF($E$7="Semana 1",'Semana 1'!Y32,IF($E$7="Semana 2",'Semana 2'!Y32,IF($E$7="Semana 3",'Semana 3'!Y32,IF($E$7="Semana 4",'Semana 4'!Y32,FALSE))))</f>
        <v>5.0</v>
      </c>
      <c r="AU33" s="55" t="str">
        <f>IF($E$7="Semana 1",'Semana 1'!Z32,IF($E$7="Semana 2",'Semana 2'!Z32,IF($E$7="Semana 3",'Semana 3'!Z32,IF($E$7="Semana 4",'Semana 4'!Z32,FALSE))))</f>
        <v>8.0</v>
      </c>
      <c r="AV33" s="55" t="str">
        <f>IF($E$7="Semana 1",'Semana 1'!AA32,IF($E$7="Semana 2",'Semana 2'!AA32,IF($E$7="Semana 3",'Semana 3'!AA32,IF($E$7="Semana 4",'Semana 4'!AA32,FALSE))))</f>
        <v>8.0</v>
      </c>
      <c r="AW33" s="55" t="str">
        <f>IF($E$7="Semana 1",'Semana 1'!AB32,IF($E$7="Semana 2",'Semana 2'!AB32,IF($E$7="Semana 3",'Semana 3'!AB32,IF($E$7="Semana 4",'Semana 4'!AB32,FALSE))))</f>
        <v>8.0</v>
      </c>
      <c r="AX33" s="55" t="str">
        <f>IF($E$7="Semana 1",'Semana 1'!AC32,IF($E$7="Semana 2",'Semana 2'!AC32,IF($E$7="Semana 3",'Semana 3'!AC32,IF($E$7="Semana 4",'Semana 4'!AC32,FALSE))))</f>
        <v>8.0</v>
      </c>
      <c r="AY33" s="55" t="str">
        <f>IF($E$7="Semana 1",'Semana 1'!AD32,IF($E$7="Semana 2",'Semana 2'!AD32,IF($E$7="Semana 3",'Semana 3'!AD32,IF($E$7="Semana 4",'Semana 4'!AD32,FALSE))))</f>
        <v>45.1</v>
      </c>
    </row>
    <row r="34" ht="15.75" customHeight="1">
      <c r="N34" s="183"/>
      <c r="Y34" s="179" t="str">
        <f t="shared" si="1"/>
        <v>28</v>
      </c>
      <c r="Z34" s="180" t="str">
        <f>IF($E$7="Semana 1",'Semana 1'!E33,IF($E$7="Semana 2",'Semana 2'!E33,IF($E$7="Semana 3",'Semana 3'!E33,IF($E$7="Semana 4",'Semana 4'!E33,FALSE))))</f>
        <v>-</v>
      </c>
      <c r="AA34" s="180" t="str">
        <f>IF($E$7="Semana 1",'Semana 1'!F33,IF($E$7="Semana 2",'Semana 2'!F33,IF($E$7="Semana 3",'Semana 3'!F33,IF($E$7="Semana 4",'Semana 4'!F33,FALSE))))</f>
        <v>Semana 1</v>
      </c>
      <c r="AB34" s="180" t="str">
        <f>IF($E$7="Semana 1",'Semana 1'!G33,IF($E$7="Semana 2",'Semana 2'!G33,IF($E$7="Semana 3",'Semana 3'!G33,IF($E$7="Semana 4",'Semana 4'!G33,FALSE))))</f>
        <v>-</v>
      </c>
      <c r="AC34" s="51" t="str">
        <f>IF($E$7="Semana 1",'Semana 1'!H33,IF($E$7="Semana 2",'Semana 2'!H33,IF($E$7="Semana 3",'Semana 3'!H33,IF($E$7="Semana 4",'Semana 4'!H33,FALSE))))</f>
        <v/>
      </c>
      <c r="AD34" s="51" t="str">
        <f>IF($E$7="Semana 1",'Semana 1'!I33,IF($E$7="Semana 2",'Semana 2'!I33,IF($E$7="Semana 3",'Semana 3'!I33,IF($E$7="Semana 4",'Semana 4'!I33,FALSE))))</f>
        <v> </v>
      </c>
      <c r="AE34" s="51" t="str">
        <f>IF($E$7="Semana 1",'Semana 1'!J33,IF($E$7="Semana 2",'Semana 2'!J33,IF($E$7="Semana 3",'Semana 3'!J33,IF($E$7="Semana 4",'Semana 4'!J33,FALSE))))</f>
        <v/>
      </c>
      <c r="AF34" s="51" t="str">
        <f>IF($E$7="Semana 1",'Semana 1'!K33,IF($E$7="Semana 2",'Semana 2'!K33,IF($E$7="Semana 3",'Semana 3'!K33,IF($E$7="Semana 4",'Semana 4'!K33,FALSE))))</f>
        <v> - </v>
      </c>
      <c r="AG34" s="51" t="str">
        <f>IF($E$7="Semana 1",'Semana 1'!L33,IF($E$7="Semana 2",'Semana 2'!L33,IF($E$7="Semana 3",'Semana 3'!L33,IF($E$7="Semana 4",'Semana 4'!L33,FALSE))))</f>
        <v/>
      </c>
      <c r="AH34" s="51" t="str">
        <f>IF($E$7="Semana 1",'Semana 1'!M33,IF($E$7="Semana 2",'Semana 2'!M33,IF($E$7="Semana 3",'Semana 3'!M33,IF($E$7="Semana 4",'Semana 4'!M33,FALSE))))</f>
        <v> - </v>
      </c>
      <c r="AI34" s="51" t="str">
        <f>IF($E$7="Semana 1",'Semana 1'!N33,IF($E$7="Semana 2",'Semana 2'!N33,IF($E$7="Semana 3",'Semana 3'!N33,IF($E$7="Semana 4",'Semana 4'!N33,FALSE))))</f>
        <v/>
      </c>
      <c r="AJ34" s="51" t="str">
        <f>IF($E$7="Semana 1",'Semana 1'!O33,IF($E$7="Semana 2",'Semana 2'!O33,IF($E$7="Semana 3",'Semana 3'!O33,IF($E$7="Semana 4",'Semana 4'!O33,FALSE))))</f>
        <v> - </v>
      </c>
      <c r="AK34" s="52" t="str">
        <f>IF($E$7="Semana 1",'Semana 1'!P33,IF($E$7="Semana 2",'Semana 2'!P33,IF($E$7="Semana 3",'Semana 3'!P33,IF($E$7="Semana 4",'Semana 4'!P33,FALSE))))</f>
        <v>-1.0</v>
      </c>
      <c r="AL34" s="51" t="str">
        <f>IF($E$7="Semana 1",'Semana 1'!Q33,IF($E$7="Semana 2",'Semana 2'!Q33,IF($E$7="Semana 3",'Semana 3'!Q33,IF($E$7="Semana 4",'Semana 4'!Q33,FALSE))))</f>
        <v/>
      </c>
      <c r="AM34" s="51" t="str">
        <f>IF($E$7="Semana 1",'Semana 1'!R33,IF($E$7="Semana 2",'Semana 2'!R33,IF($E$7="Semana 3",'Semana 3'!R33,IF($E$7="Semana 4",'Semana 4'!R33,FALSE))))</f>
        <v> </v>
      </c>
      <c r="AN34" s="53" t="str">
        <f>IF($E$7="Semana 1",'Semana 1'!S33,IF($E$7="Semana 2",'Semana 2'!S33,IF($E$7="Semana 3",'Semana 3'!S33,IF($E$7="Semana 4",'Semana 4'!S33,FALSE))))</f>
        <v/>
      </c>
      <c r="AO34" s="53" t="str">
        <f>IF($E$7="Semana 1",'Semana 1'!T33,IF($E$7="Semana 2",'Semana 2'!T33,IF($E$7="Semana 3",'Semana 3'!T33,IF($E$7="Semana 4",'Semana 4'!T33,FALSE))))</f>
        <v/>
      </c>
      <c r="AP34" s="51" t="str">
        <f>IF($E$7="Semana 1",'Semana 1'!U33,IF($E$7="Semana 2",'Semana 2'!U33,IF($E$7="Semana 3",'Semana 3'!U33,IF($E$7="Semana 4",'Semana 4'!U33,FALSE))))</f>
        <v/>
      </c>
      <c r="AQ34" s="51" t="str">
        <f>IF($E$7="Semana 1",'Semana 1'!V33,IF($E$7="Semana 2",'Semana 2'!V33,IF($E$7="Semana 3",'Semana 3'!V33,IF($E$7="Semana 4",'Semana 4'!V33,FALSE))))</f>
        <v/>
      </c>
      <c r="AR34" s="53" t="str">
        <f>IF($E$7="Semana 1",'Semana 1'!W33,IF($E$7="Semana 2",'Semana 2'!W33,IF($E$7="Semana 3",'Semana 3'!W33,IF($E$7="Semana 4",'Semana 4'!W33,FALSE))))</f>
        <v/>
      </c>
      <c r="AS34" s="53" t="str">
        <f>IF($E$7="Semana 1",'Semana 1'!X33,IF($E$7="Semana 2",'Semana 2'!X33,IF($E$7="Semana 3",'Semana 3'!X33,IF($E$7="Semana 4",'Semana 4'!X33,FALSE))))</f>
        <v/>
      </c>
      <c r="AT34" s="52" t="str">
        <f>IF($E$7="Semana 1",'Semana 1'!Y33,IF($E$7="Semana 2",'Semana 2'!Y33,IF($E$7="Semana 3",'Semana 3'!Y33,IF($E$7="Semana 4",'Semana 4'!Y33,FALSE))))</f>
        <v>0.0</v>
      </c>
      <c r="AU34" s="52" t="str">
        <f>IF($E$7="Semana 1",'Semana 1'!Z33,IF($E$7="Semana 2",'Semana 2'!Z33,IF($E$7="Semana 3",'Semana 3'!Z33,IF($E$7="Semana 4",'Semana 4'!Z33,FALSE))))</f>
        <v>-1.0</v>
      </c>
      <c r="AV34" s="52" t="str">
        <f>IF($E$7="Semana 1",'Semana 1'!AA33,IF($E$7="Semana 2",'Semana 2'!AA33,IF($E$7="Semana 3",'Semana 3'!AA33,IF($E$7="Semana 4",'Semana 4'!AA33,FALSE))))</f>
        <v>-1.0</v>
      </c>
      <c r="AW34" s="52" t="str">
        <f>IF($E$7="Semana 1",'Semana 1'!AB33,IF($E$7="Semana 2",'Semana 2'!AB33,IF($E$7="Semana 3",'Semana 3'!AB33,IF($E$7="Semana 4",'Semana 4'!AB33,FALSE))))</f>
        <v>-1.0</v>
      </c>
      <c r="AX34" s="52" t="str">
        <f>IF($E$7="Semana 1",'Semana 1'!AC33,IF($E$7="Semana 2",'Semana 2'!AC33,IF($E$7="Semana 3",'Semana 3'!AC33,IF($E$7="Semana 4",'Semana 4'!AC33,FALSE))))</f>
        <v>-1.0</v>
      </c>
      <c r="AY34" s="52" t="str">
        <f>IF($E$7="Semana 1",'Semana 1'!AD33,IF($E$7="Semana 2",'Semana 2'!AD33,IF($E$7="Semana 3",'Semana 3'!AD33,IF($E$7="Semana 4",'Semana 4'!AD33,FALSE))))</f>
        <v>-5.0</v>
      </c>
    </row>
    <row r="35" ht="15.75" customHeight="1">
      <c r="N35" s="183"/>
      <c r="Y35" s="18" t="str">
        <f t="shared" si="1"/>
        <v>29</v>
      </c>
      <c r="Z35" s="19" t="str">
        <f>IF($E$7="Semana 1",'Semana 1'!E34,IF($E$7="Semana 2",'Semana 2'!E34,IF($E$7="Semana 3",'Semana 3'!E34,IF($E$7="Semana 4",'Semana 4'!E34,FALSE))))</f>
        <v>-</v>
      </c>
      <c r="AA35" s="19" t="str">
        <f>IF($E$7="Semana 1",'Semana 1'!F34,IF($E$7="Semana 2",'Semana 2'!F34,IF($E$7="Semana 3",'Semana 3'!F34,IF($E$7="Semana 4",'Semana 4'!F34,FALSE))))</f>
        <v>Semana 1</v>
      </c>
      <c r="AB35" s="19" t="str">
        <f>IF($E$7="Semana 1",'Semana 1'!G34,IF($E$7="Semana 2",'Semana 2'!G34,IF($E$7="Semana 3",'Semana 3'!G34,IF($E$7="Semana 4",'Semana 4'!G34,FALSE))))</f>
        <v>-</v>
      </c>
      <c r="AC35" s="54" t="str">
        <f>IF($E$7="Semana 1",'Semana 1'!H34,IF($E$7="Semana 2",'Semana 2'!H34,IF($E$7="Semana 3",'Semana 3'!H34,IF($E$7="Semana 4",'Semana 4'!H34,FALSE))))</f>
        <v/>
      </c>
      <c r="AD35" s="54" t="str">
        <f>IF($E$7="Semana 1",'Semana 1'!I34,IF($E$7="Semana 2",'Semana 2'!I34,IF($E$7="Semana 3",'Semana 3'!I34,IF($E$7="Semana 4",'Semana 4'!I34,FALSE))))</f>
        <v> </v>
      </c>
      <c r="AE35" s="54" t="str">
        <f>IF($E$7="Semana 1",'Semana 1'!J34,IF($E$7="Semana 2",'Semana 2'!J34,IF($E$7="Semana 3",'Semana 3'!J34,IF($E$7="Semana 4",'Semana 4'!J34,FALSE))))</f>
        <v/>
      </c>
      <c r="AF35" s="54" t="str">
        <f>IF($E$7="Semana 1",'Semana 1'!K34,IF($E$7="Semana 2",'Semana 2'!K34,IF($E$7="Semana 3",'Semana 3'!K34,IF($E$7="Semana 4",'Semana 4'!K34,FALSE))))</f>
        <v> - </v>
      </c>
      <c r="AG35" s="54" t="str">
        <f>IF($E$7="Semana 1",'Semana 1'!L34,IF($E$7="Semana 2",'Semana 2'!L34,IF($E$7="Semana 3",'Semana 3'!L34,IF($E$7="Semana 4",'Semana 4'!L34,FALSE))))</f>
        <v/>
      </c>
      <c r="AH35" s="54" t="str">
        <f>IF($E$7="Semana 1",'Semana 1'!M34,IF($E$7="Semana 2",'Semana 2'!M34,IF($E$7="Semana 3",'Semana 3'!M34,IF($E$7="Semana 4",'Semana 4'!M34,FALSE))))</f>
        <v> - </v>
      </c>
      <c r="AI35" s="54" t="str">
        <f>IF($E$7="Semana 1",'Semana 1'!N34,IF($E$7="Semana 2",'Semana 2'!N34,IF($E$7="Semana 3",'Semana 3'!N34,IF($E$7="Semana 4",'Semana 4'!N34,FALSE))))</f>
        <v/>
      </c>
      <c r="AJ35" s="54" t="str">
        <f>IF($E$7="Semana 1",'Semana 1'!O34,IF($E$7="Semana 2",'Semana 2'!O34,IF($E$7="Semana 3",'Semana 3'!O34,IF($E$7="Semana 4",'Semana 4'!O34,FALSE))))</f>
        <v> - </v>
      </c>
      <c r="AK35" s="55" t="str">
        <f>IF($E$7="Semana 1",'Semana 1'!P34,IF($E$7="Semana 2",'Semana 2'!P34,IF($E$7="Semana 3",'Semana 3'!P34,IF($E$7="Semana 4",'Semana 4'!P34,FALSE))))</f>
        <v>-1.0</v>
      </c>
      <c r="AL35" s="51" t="str">
        <f>IF($E$7="Semana 1",'Semana 1'!Q34,IF($E$7="Semana 2",'Semana 2'!Q34,IF($E$7="Semana 3",'Semana 3'!Q34,IF($E$7="Semana 4",'Semana 4'!Q34,FALSE))))</f>
        <v/>
      </c>
      <c r="AM35" s="51" t="str">
        <f>IF($E$7="Semana 1",'Semana 1'!R34,IF($E$7="Semana 2",'Semana 2'!R34,IF($E$7="Semana 3",'Semana 3'!R34,IF($E$7="Semana 4",'Semana 4'!R34,FALSE))))</f>
        <v/>
      </c>
      <c r="AN35" s="51" t="str">
        <f>IF($E$7="Semana 1",'Semana 1'!S34,IF($E$7="Semana 2",'Semana 2'!S34,IF($E$7="Semana 3",'Semana 3'!S34,IF($E$7="Semana 4",'Semana 4'!S34,FALSE))))</f>
        <v/>
      </c>
      <c r="AO35" s="51" t="str">
        <f>IF($E$7="Semana 1",'Semana 1'!T34,IF($E$7="Semana 2",'Semana 2'!T34,IF($E$7="Semana 3",'Semana 3'!T34,IF($E$7="Semana 4",'Semana 4'!T34,FALSE))))</f>
        <v/>
      </c>
      <c r="AP35" s="51" t="str">
        <f>IF($E$7="Semana 1",'Semana 1'!U34,IF($E$7="Semana 2",'Semana 2'!U34,IF($E$7="Semana 3",'Semana 3'!U34,IF($E$7="Semana 4",'Semana 4'!U34,FALSE))))</f>
        <v/>
      </c>
      <c r="AQ35" s="51" t="str">
        <f>IF($E$7="Semana 1",'Semana 1'!V34,IF($E$7="Semana 2",'Semana 2'!V34,IF($E$7="Semana 3",'Semana 3'!V34,IF($E$7="Semana 4",'Semana 4'!V34,FALSE))))</f>
        <v/>
      </c>
      <c r="AR35" s="51" t="str">
        <f>IF($E$7="Semana 1",'Semana 1'!W34,IF($E$7="Semana 2",'Semana 2'!W34,IF($E$7="Semana 3",'Semana 3'!W34,IF($E$7="Semana 4",'Semana 4'!W34,FALSE))))</f>
        <v/>
      </c>
      <c r="AS35" s="51" t="str">
        <f>IF($E$7="Semana 1",'Semana 1'!X34,IF($E$7="Semana 2",'Semana 2'!X34,IF($E$7="Semana 3",'Semana 3'!X34,IF($E$7="Semana 4",'Semana 4'!X34,FALSE))))</f>
        <v/>
      </c>
      <c r="AT35" s="52" t="str">
        <f>IF($E$7="Semana 1",'Semana 1'!Y34,IF($E$7="Semana 2",'Semana 2'!Y34,IF($E$7="Semana 3",'Semana 3'!Y34,IF($E$7="Semana 4",'Semana 4'!Y34,FALSE))))</f>
        <v>0.0</v>
      </c>
      <c r="AU35" s="55" t="str">
        <f>IF($E$7="Semana 1",'Semana 1'!Z34,IF($E$7="Semana 2",'Semana 2'!Z34,IF($E$7="Semana 3",'Semana 3'!Z34,IF($E$7="Semana 4",'Semana 4'!Z34,FALSE))))</f>
        <v>-1.0</v>
      </c>
      <c r="AV35" s="55" t="str">
        <f>IF($E$7="Semana 1",'Semana 1'!AA34,IF($E$7="Semana 2",'Semana 2'!AA34,IF($E$7="Semana 3",'Semana 3'!AA34,IF($E$7="Semana 4",'Semana 4'!AA34,FALSE))))</f>
        <v>-1.0</v>
      </c>
      <c r="AW35" s="55" t="str">
        <f>IF($E$7="Semana 1",'Semana 1'!AB34,IF($E$7="Semana 2",'Semana 2'!AB34,IF($E$7="Semana 3",'Semana 3'!AB34,IF($E$7="Semana 4",'Semana 4'!AB34,FALSE))))</f>
        <v>-1.0</v>
      </c>
      <c r="AX35" s="55" t="str">
        <f>IF($E$7="Semana 1",'Semana 1'!AC34,IF($E$7="Semana 2",'Semana 2'!AC34,IF($E$7="Semana 3",'Semana 3'!AC34,IF($E$7="Semana 4",'Semana 4'!AC34,FALSE))))</f>
        <v>-1.0</v>
      </c>
      <c r="AY35" s="55" t="str">
        <f>IF($E$7="Semana 1",'Semana 1'!AD34,IF($E$7="Semana 2",'Semana 2'!AD34,IF($E$7="Semana 3",'Semana 3'!AD34,IF($E$7="Semana 4",'Semana 4'!AD34,FALSE))))</f>
        <v>-5.0</v>
      </c>
    </row>
    <row r="36" ht="15.75" customHeight="1">
      <c r="N36" s="183"/>
      <c r="Y36" s="179" t="str">
        <f t="shared" si="1"/>
        <v>30</v>
      </c>
      <c r="Z36" s="180" t="str">
        <f>IF($E$7="Semana 1",'Semana 1'!E35,IF($E$7="Semana 2",'Semana 2'!E35,IF($E$7="Semana 3",'Semana 3'!E35,IF($E$7="Semana 4",'Semana 4'!E35,FALSE))))</f>
        <v>Yoselin Delfina Lucas Juárez</v>
      </c>
      <c r="AA36" s="180" t="str">
        <f>IF($E$7="Semana 1",'Semana 1'!F35,IF($E$7="Semana 2",'Semana 2'!F35,IF($E$7="Semana 3",'Semana 3'!F35,IF($E$7="Semana 4",'Semana 4'!F35,FALSE))))</f>
        <v>Semana 1</v>
      </c>
      <c r="AB36" s="180" t="str">
        <f>IF($E$7="Semana 1",'Semana 1'!G35,IF($E$7="Semana 2",'Semana 2'!G35,IF($E$7="Semana 3",'Semana 3'!G35,IF($E$7="Semana 4",'Semana 4'!G35,FALSE))))</f>
        <v>REDES</v>
      </c>
      <c r="AC36" s="51" t="str">
        <f>IF($E$7="Semana 1",'Semana 1'!H35,IF($E$7="Semana 2",'Semana 2'!H35,IF($E$7="Semana 3",'Semana 3'!H35,IF($E$7="Semana 4",'Semana 4'!H35,FALSE))))</f>
        <v>9:00</v>
      </c>
      <c r="AD36" s="51" t="str">
        <f>IF($E$7="Semana 1",'Semana 1'!I35,IF($E$7="Semana 2",'Semana 2'!I35,IF($E$7="Semana 3",'Semana 3'!I35,IF($E$7="Semana 4",'Semana 4'!I35,FALSE))))</f>
        <v>18:00</v>
      </c>
      <c r="AE36" s="51" t="str">
        <f>IF($E$7="Semana 1",'Semana 1'!J35,IF($E$7="Semana 2",'Semana 2'!J35,IF($E$7="Semana 3",'Semana 3'!J35,IF($E$7="Semana 4",'Semana 4'!J35,FALSE))))</f>
        <v>12:00</v>
      </c>
      <c r="AF36" s="51" t="str">
        <f>IF($E$7="Semana 1",'Semana 1'!K35,IF($E$7="Semana 2",'Semana 2'!K35,IF($E$7="Semana 3",'Semana 3'!K35,IF($E$7="Semana 4",'Semana 4'!K35,FALSE))))</f>
        <v>13:00</v>
      </c>
      <c r="AG36" s="51" t="str">
        <f>IF($E$7="Semana 1",'Semana 1'!L35,IF($E$7="Semana 2",'Semana 2'!L35,IF($E$7="Semana 3",'Semana 3'!L35,IF($E$7="Semana 4",'Semana 4'!L35,FALSE))))</f>
        <v>10:40</v>
      </c>
      <c r="AH36" s="51" t="str">
        <f>IF($E$7="Semana 1",'Semana 1'!M35,IF($E$7="Semana 2",'Semana 2'!M35,IF($E$7="Semana 3",'Semana 3'!M35,IF($E$7="Semana 4",'Semana 4'!M35,FALSE))))</f>
        <v>11:00</v>
      </c>
      <c r="AI36" s="51" t="str">
        <f>IF($E$7="Semana 1",'Semana 1'!N35,IF($E$7="Semana 2",'Semana 2'!N35,IF($E$7="Semana 3",'Semana 3'!N35,IF($E$7="Semana 4",'Semana 4'!N35,FALSE))))</f>
        <v>16:00</v>
      </c>
      <c r="AJ36" s="51" t="str">
        <f>IF($E$7="Semana 1",'Semana 1'!O35,IF($E$7="Semana 2",'Semana 2'!O35,IF($E$7="Semana 3",'Semana 3'!O35,IF($E$7="Semana 4",'Semana 4'!O35,FALSE))))</f>
        <v>16:10</v>
      </c>
      <c r="AK36" s="52" t="str">
        <f>IF($E$7="Semana 1",'Semana 1'!P35,IF($E$7="Semana 2",'Semana 2'!P35,IF($E$7="Semana 3",'Semana 3'!P35,IF($E$7="Semana 4",'Semana 4'!P35,FALSE))))</f>
        <v>8.0</v>
      </c>
      <c r="AL36" s="51" t="str">
        <f>IF($E$7="Semana 1",'Semana 1'!Q35,IF($E$7="Semana 2",'Semana 2'!Q35,IF($E$7="Semana 3",'Semana 3'!Q35,IF($E$7="Semana 4",'Semana 4'!Q35,FALSE))))</f>
        <v>10:00</v>
      </c>
      <c r="AM36" s="51" t="str">
        <f>IF($E$7="Semana 1",'Semana 1'!R35,IF($E$7="Semana 2",'Semana 2'!R35,IF($E$7="Semana 3",'Semana 3'!R35,IF($E$7="Semana 4",'Semana 4'!R35,FALSE))))</f>
        <v>15:00</v>
      </c>
      <c r="AN36" s="53" t="str">
        <f>IF($E$7="Semana 1",'Semana 1'!S35,IF($E$7="Semana 2",'Semana 2'!S35,IF($E$7="Semana 3",'Semana 3'!S35,IF($E$7="Semana 4",'Semana 4'!S35,FALSE))))</f>
        <v/>
      </c>
      <c r="AO36" s="53" t="str">
        <f>IF($E$7="Semana 1",'Semana 1'!T35,IF($E$7="Semana 2",'Semana 2'!T35,IF($E$7="Semana 3",'Semana 3'!T35,IF($E$7="Semana 4",'Semana 4'!T35,FALSE))))</f>
        <v/>
      </c>
      <c r="AP36" s="51" t="str">
        <f>IF($E$7="Semana 1",'Semana 1'!U35,IF($E$7="Semana 2",'Semana 2'!U35,IF($E$7="Semana 3",'Semana 3'!U35,IF($E$7="Semana 4",'Semana 4'!U35,FALSE))))</f>
        <v>12:00</v>
      </c>
      <c r="AQ36" s="51" t="str">
        <f>IF($E$7="Semana 1",'Semana 1'!V35,IF($E$7="Semana 2",'Semana 2'!V35,IF($E$7="Semana 3",'Semana 3'!V35,IF($E$7="Semana 4",'Semana 4'!V35,FALSE))))</f>
        <v>12:14</v>
      </c>
      <c r="AR36" s="53" t="str">
        <f>IF($E$7="Semana 1",'Semana 1'!W35,IF($E$7="Semana 2",'Semana 2'!W35,IF($E$7="Semana 3",'Semana 3'!W35,IF($E$7="Semana 4",'Semana 4'!W35,FALSE))))</f>
        <v/>
      </c>
      <c r="AS36" s="53" t="str">
        <f>IF($E$7="Semana 1",'Semana 1'!X35,IF($E$7="Semana 2",'Semana 2'!X35,IF($E$7="Semana 3",'Semana 3'!X35,IF($E$7="Semana 4",'Semana 4'!X35,FALSE))))</f>
        <v/>
      </c>
      <c r="AT36" s="52" t="str">
        <f>IF($E$7="Semana 1",'Semana 1'!Y35,IF($E$7="Semana 2",'Semana 2'!Y35,IF($E$7="Semana 3",'Semana 3'!Y35,IF($E$7="Semana 4",'Semana 4'!Y35,FALSE))))</f>
        <v>5.0</v>
      </c>
      <c r="AU36" s="52" t="str">
        <f>IF($E$7="Semana 1",'Semana 1'!Z35,IF($E$7="Semana 2",'Semana 2'!Z35,IF($E$7="Semana 3",'Semana 3'!Z35,IF($E$7="Semana 4",'Semana 4'!Z35,FALSE))))</f>
        <v>8.0</v>
      </c>
      <c r="AV36" s="52" t="str">
        <f>IF($E$7="Semana 1",'Semana 1'!AA35,IF($E$7="Semana 2",'Semana 2'!AA35,IF($E$7="Semana 3",'Semana 3'!AA35,IF($E$7="Semana 4",'Semana 4'!AA35,FALSE))))</f>
        <v>8.0</v>
      </c>
      <c r="AW36" s="52" t="str">
        <f>IF($E$7="Semana 1",'Semana 1'!AB35,IF($E$7="Semana 2",'Semana 2'!AB35,IF($E$7="Semana 3",'Semana 3'!AB35,IF($E$7="Semana 4",'Semana 4'!AB35,FALSE))))</f>
        <v>8.0</v>
      </c>
      <c r="AX36" s="52" t="str">
        <f>IF($E$7="Semana 1",'Semana 1'!AC35,IF($E$7="Semana 2",'Semana 2'!AC35,IF($E$7="Semana 3",'Semana 3'!AC35,IF($E$7="Semana 4",'Semana 4'!AC35,FALSE))))</f>
        <v>8.0</v>
      </c>
      <c r="AY36" s="52" t="str">
        <f>IF($E$7="Semana 1",'Semana 1'!AD35,IF($E$7="Semana 2",'Semana 2'!AD35,IF($E$7="Semana 3",'Semana 3'!AD35,IF($E$7="Semana 4",'Semana 4'!AD35,FALSE))))</f>
        <v>45.1</v>
      </c>
    </row>
    <row r="37" ht="15.75" customHeight="1">
      <c r="N37" s="183"/>
      <c r="Y37" s="18" t="str">
        <f t="shared" si="1"/>
        <v>31</v>
      </c>
      <c r="Z37" s="19" t="str">
        <f>IF($E$7="Semana 1",'Semana 1'!E36,IF($E$7="Semana 2",'Semana 2'!E36,IF($E$7="Semana 3",'Semana 3'!E36,IF($E$7="Semana 4",'Semana 4'!E36,FALSE))))</f>
        <v>Marleny Elizabeth Orozco Carrera</v>
      </c>
      <c r="AA37" s="19" t="str">
        <f>IF($E$7="Semana 1",'Semana 1'!F36,IF($E$7="Semana 2",'Semana 2'!F36,IF($E$7="Semana 3",'Semana 3'!F36,IF($E$7="Semana 4",'Semana 4'!F36,FALSE))))</f>
        <v>Semana 1</v>
      </c>
      <c r="AB37" s="19" t="str">
        <f>IF($E$7="Semana 1",'Semana 1'!G36,IF($E$7="Semana 2",'Semana 2'!G36,IF($E$7="Semana 3",'Semana 3'!G36,IF($E$7="Semana 4",'Semana 4'!G36,FALSE))))</f>
        <v>AGENTE</v>
      </c>
      <c r="AC37" s="54" t="str">
        <f>IF($E$7="Semana 1",'Semana 1'!H36,IF($E$7="Semana 2",'Semana 2'!H36,IF($E$7="Semana 3",'Semana 3'!H36,IF($E$7="Semana 4",'Semana 4'!H36,FALSE))))</f>
        <v>8:00</v>
      </c>
      <c r="AD37" s="54" t="str">
        <f>IF($E$7="Semana 1",'Semana 1'!I36,IF($E$7="Semana 2",'Semana 2'!I36,IF($E$7="Semana 3",'Semana 3'!I36,IF($E$7="Semana 4",'Semana 4'!I36,FALSE))))</f>
        <v>17:00</v>
      </c>
      <c r="AE37" s="54" t="str">
        <f>IF($E$7="Semana 1",'Semana 1'!J36,IF($E$7="Semana 2",'Semana 2'!J36,IF($E$7="Semana 3",'Semana 3'!J36,IF($E$7="Semana 4",'Semana 4'!J36,FALSE))))</f>
        <v>13:30</v>
      </c>
      <c r="AF37" s="54" t="str">
        <f>IF($E$7="Semana 1",'Semana 1'!K36,IF($E$7="Semana 2",'Semana 2'!K36,IF($E$7="Semana 3",'Semana 3'!K36,IF($E$7="Semana 4",'Semana 4'!K36,FALSE))))</f>
        <v>14:30</v>
      </c>
      <c r="AG37" s="54" t="str">
        <f>IF($E$7="Semana 1",'Semana 1'!L36,IF($E$7="Semana 2",'Semana 2'!L36,IF($E$7="Semana 3",'Semana 3'!L36,IF($E$7="Semana 4",'Semana 4'!L36,FALSE))))</f>
        <v>8:15</v>
      </c>
      <c r="AH37" s="54" t="str">
        <f>IF($E$7="Semana 1",'Semana 1'!M36,IF($E$7="Semana 2",'Semana 2'!M36,IF($E$7="Semana 3",'Semana 3'!M36,IF($E$7="Semana 4",'Semana 4'!M36,FALSE))))</f>
        <v>8:35</v>
      </c>
      <c r="AI37" s="54" t="str">
        <f>IF($E$7="Semana 1",'Semana 1'!N36,IF($E$7="Semana 2",'Semana 2'!N36,IF($E$7="Semana 3",'Semana 3'!N36,IF($E$7="Semana 4",'Semana 4'!N36,FALSE))))</f>
        <v>16:15</v>
      </c>
      <c r="AJ37" s="54" t="str">
        <f>IF($E$7="Semana 1",'Semana 1'!O36,IF($E$7="Semana 2",'Semana 2'!O36,IF($E$7="Semana 3",'Semana 3'!O36,IF($E$7="Semana 4",'Semana 4'!O36,FALSE))))</f>
        <v>16:25</v>
      </c>
      <c r="AK37" s="55" t="str">
        <f>IF($E$7="Semana 1",'Semana 1'!P36,IF($E$7="Semana 2",'Semana 2'!P36,IF($E$7="Semana 3",'Semana 3'!P36,IF($E$7="Semana 4",'Semana 4'!P36,FALSE))))</f>
        <v>8.0</v>
      </c>
      <c r="AL37" s="54" t="str">
        <f>IF($E$7="Semana 1",'Semana 1'!Q36,IF($E$7="Semana 2",'Semana 2'!Q36,IF($E$7="Semana 3",'Semana 3'!Q36,IF($E$7="Semana 4",'Semana 4'!Q36,FALSE))))</f>
        <v>8:30</v>
      </c>
      <c r="AM37" s="54" t="str">
        <f>IF($E$7="Semana 1",'Semana 1'!R36,IF($E$7="Semana 2",'Semana 2'!R36,IF($E$7="Semana 3",'Semana 3'!R36,IF($E$7="Semana 4",'Semana 4'!R36,FALSE))))</f>
        <v>13:30</v>
      </c>
      <c r="AN37" s="56" t="str">
        <f>IF($E$7="Semana 1",'Semana 1'!S36,IF($E$7="Semana 2",'Semana 2'!S36,IF($E$7="Semana 3",'Semana 3'!S36,IF($E$7="Semana 4",'Semana 4'!S36,FALSE))))</f>
        <v/>
      </c>
      <c r="AO37" s="56" t="str">
        <f>IF($E$7="Semana 1",'Semana 1'!T36,IF($E$7="Semana 2",'Semana 2'!T36,IF($E$7="Semana 3",'Semana 3'!T36,IF($E$7="Semana 4",'Semana 4'!T36,FALSE))))</f>
        <v/>
      </c>
      <c r="AP37" s="54" t="str">
        <f>IF($E$7="Semana 1",'Semana 1'!U36,IF($E$7="Semana 2",'Semana 2'!U36,IF($E$7="Semana 3",'Semana 3'!U36,IF($E$7="Semana 4",'Semana 4'!U36,FALSE))))</f>
        <v>9:00</v>
      </c>
      <c r="AQ37" s="54" t="str">
        <f>IF($E$7="Semana 1",'Semana 1'!V36,IF($E$7="Semana 2",'Semana 2'!V36,IF($E$7="Semana 3",'Semana 3'!V36,IF($E$7="Semana 4",'Semana 4'!V36,FALSE))))</f>
        <v>9:30</v>
      </c>
      <c r="AR37" s="56" t="str">
        <f>IF($E$7="Semana 1",'Semana 1'!W36,IF($E$7="Semana 2",'Semana 2'!W36,IF($E$7="Semana 3",'Semana 3'!W36,IF($E$7="Semana 4",'Semana 4'!W36,FALSE))))</f>
        <v/>
      </c>
      <c r="AS37" s="56" t="str">
        <f>IF($E$7="Semana 1",'Semana 1'!X36,IF($E$7="Semana 2",'Semana 2'!X36,IF($E$7="Semana 3",'Semana 3'!X36,IF($E$7="Semana 4",'Semana 4'!X36,FALSE))))</f>
        <v/>
      </c>
      <c r="AT37" s="55" t="str">
        <f>IF($E$7="Semana 1",'Semana 1'!Y36,IF($E$7="Semana 2",'Semana 2'!Y36,IF($E$7="Semana 3",'Semana 3'!Y36,IF($E$7="Semana 4",'Semana 4'!Y36,FALSE))))</f>
        <v>5.0</v>
      </c>
      <c r="AU37" s="55" t="str">
        <f>IF($E$7="Semana 1",'Semana 1'!Z36,IF($E$7="Semana 2",'Semana 2'!Z36,IF($E$7="Semana 3",'Semana 3'!Z36,IF($E$7="Semana 4",'Semana 4'!Z36,FALSE))))</f>
        <v>8.0</v>
      </c>
      <c r="AV37" s="55" t="str">
        <f>IF($E$7="Semana 1",'Semana 1'!AA36,IF($E$7="Semana 2",'Semana 2'!AA36,IF($E$7="Semana 3",'Semana 3'!AA36,IF($E$7="Semana 4",'Semana 4'!AA36,FALSE))))</f>
        <v>8.0</v>
      </c>
      <c r="AW37" s="55" t="str">
        <f>IF($E$7="Semana 1",'Semana 1'!AB36,IF($E$7="Semana 2",'Semana 2'!AB36,IF($E$7="Semana 3",'Semana 3'!AB36,IF($E$7="Semana 4",'Semana 4'!AB36,FALSE))))</f>
        <v>8.0</v>
      </c>
      <c r="AX37" s="55" t="str">
        <f>IF($E$7="Semana 1",'Semana 1'!AC36,IF($E$7="Semana 2",'Semana 2'!AC36,IF($E$7="Semana 3",'Semana 3'!AC36,IF($E$7="Semana 4",'Semana 4'!AC36,FALSE))))</f>
        <v>8.0</v>
      </c>
      <c r="AY37" s="55" t="str">
        <f>IF($E$7="Semana 1",'Semana 1'!AD36,IF($E$7="Semana 2",'Semana 2'!AD36,IF($E$7="Semana 3",'Semana 3'!AD36,IF($E$7="Semana 4",'Semana 4'!AD36,FALSE))))</f>
        <v>45.1</v>
      </c>
    </row>
    <row r="38" ht="15.75" customHeight="1">
      <c r="N38" s="183"/>
      <c r="Y38" s="179" t="str">
        <f t="shared" si="1"/>
        <v>32</v>
      </c>
      <c r="Z38" s="180" t="str">
        <f>IF($E$7="Semana 1",'Semana 1'!E37,IF($E$7="Semana 2",'Semana 2'!E37,IF($E$7="Semana 3",'Semana 3'!E37,IF($E$7="Semana 4",'Semana 4'!E37,FALSE))))</f>
        <v>Cristian Eduardo Xiloj Zamor</v>
      </c>
      <c r="AA38" s="180" t="str">
        <f>IF($E$7="Semana 1",'Semana 1'!F37,IF($E$7="Semana 2",'Semana 2'!F37,IF($E$7="Semana 3",'Semana 3'!F37,IF($E$7="Semana 4",'Semana 4'!F37,FALSE))))</f>
        <v>Semana 1</v>
      </c>
      <c r="AB38" s="180" t="str">
        <f>IF($E$7="Semana 1",'Semana 1'!G37,IF($E$7="Semana 2",'Semana 2'!G37,IF($E$7="Semana 3",'Semana 3'!G37,IF($E$7="Semana 4",'Semana 4'!G37,FALSE))))</f>
        <v>AGENTE RM</v>
      </c>
      <c r="AC38" s="51" t="str">
        <f>IF($E$7="Semana 1",'Semana 1'!H37,IF($E$7="Semana 2",'Semana 2'!H37,IF($E$7="Semana 3",'Semana 3'!H37,IF($E$7="Semana 4",'Semana 4'!H37,FALSE))))</f>
        <v>7:00</v>
      </c>
      <c r="AD38" s="51" t="str">
        <f>IF($E$7="Semana 1",'Semana 1'!I37,IF($E$7="Semana 2",'Semana 2'!I37,IF($E$7="Semana 3",'Semana 3'!I37,IF($E$7="Semana 4",'Semana 4'!I37,FALSE))))</f>
        <v>16:00</v>
      </c>
      <c r="AE38" s="51" t="str">
        <f>IF($E$7="Semana 1",'Semana 1'!J37,IF($E$7="Semana 2",'Semana 2'!J37,IF($E$7="Semana 3",'Semana 3'!J37,IF($E$7="Semana 4",'Semana 4'!J37,FALSE))))</f>
        <v>12:00</v>
      </c>
      <c r="AF38" s="51" t="str">
        <f>IF($E$7="Semana 1",'Semana 1'!K37,IF($E$7="Semana 2",'Semana 2'!K37,IF($E$7="Semana 3",'Semana 3'!K37,IF($E$7="Semana 4",'Semana 4'!K37,FALSE))))</f>
        <v>13:00</v>
      </c>
      <c r="AG38" s="51" t="str">
        <f>IF($E$7="Semana 1",'Semana 1'!L37,IF($E$7="Semana 2",'Semana 2'!L37,IF($E$7="Semana 3",'Semana 3'!L37,IF($E$7="Semana 4",'Semana 4'!L37,FALSE))))</f>
        <v>8:00</v>
      </c>
      <c r="AH38" s="51" t="str">
        <f>IF($E$7="Semana 1",'Semana 1'!M37,IF($E$7="Semana 2",'Semana 2'!M37,IF($E$7="Semana 3",'Semana 3'!M37,IF($E$7="Semana 4",'Semana 4'!M37,FALSE))))</f>
        <v>8:20</v>
      </c>
      <c r="AI38" s="51" t="str">
        <f>IF($E$7="Semana 1",'Semana 1'!N37,IF($E$7="Semana 2",'Semana 2'!N37,IF($E$7="Semana 3",'Semana 3'!N37,IF($E$7="Semana 4",'Semana 4'!N37,FALSE))))</f>
        <v>14:15</v>
      </c>
      <c r="AJ38" s="51" t="str">
        <f>IF($E$7="Semana 1",'Semana 1'!O37,IF($E$7="Semana 2",'Semana 2'!O37,IF($E$7="Semana 3",'Semana 3'!O37,IF($E$7="Semana 4",'Semana 4'!O37,FALSE))))</f>
        <v>14:25</v>
      </c>
      <c r="AK38" s="52" t="str">
        <f>IF($E$7="Semana 1",'Semana 1'!P37,IF($E$7="Semana 2",'Semana 2'!P37,IF($E$7="Semana 3",'Semana 3'!P37,IF($E$7="Semana 4",'Semana 4'!P37,FALSE))))</f>
        <v>8.0</v>
      </c>
      <c r="AL38" s="51" t="str">
        <f>IF($E$7="Semana 1",'Semana 1'!Q37,IF($E$7="Semana 2",'Semana 2'!Q37,IF($E$7="Semana 3",'Semana 3'!Q37,IF($E$7="Semana 4",'Semana 4'!Q37,FALSE))))</f>
        <v>7:00</v>
      </c>
      <c r="AM38" s="51" t="str">
        <f>IF($E$7="Semana 1",'Semana 1'!R37,IF($E$7="Semana 2",'Semana 2'!R37,IF($E$7="Semana 3",'Semana 3'!R37,IF($E$7="Semana 4",'Semana 4'!R37,FALSE))))</f>
        <v>12:00</v>
      </c>
      <c r="AN38" s="53" t="str">
        <f>IF($E$7="Semana 1",'Semana 1'!S37,IF($E$7="Semana 2",'Semana 2'!S37,IF($E$7="Semana 3",'Semana 3'!S37,IF($E$7="Semana 4",'Semana 4'!S37,FALSE))))</f>
        <v/>
      </c>
      <c r="AO38" s="53" t="str">
        <f>IF($E$7="Semana 1",'Semana 1'!T37,IF($E$7="Semana 2",'Semana 2'!T37,IF($E$7="Semana 3",'Semana 3'!T37,IF($E$7="Semana 4",'Semana 4'!T37,FALSE))))</f>
        <v/>
      </c>
      <c r="AP38" s="51" t="str">
        <f>IF($E$7="Semana 1",'Semana 1'!U37,IF($E$7="Semana 2",'Semana 2'!U37,IF($E$7="Semana 3",'Semana 3'!U37,IF($E$7="Semana 4",'Semana 4'!U37,FALSE))))</f>
        <v>8:30</v>
      </c>
      <c r="AQ38" s="51" t="str">
        <f>IF($E$7="Semana 1",'Semana 1'!V37,IF($E$7="Semana 2",'Semana 2'!V37,IF($E$7="Semana 3",'Semana 3'!V37,IF($E$7="Semana 4",'Semana 4'!V37,FALSE))))</f>
        <v>9:00</v>
      </c>
      <c r="AR38" s="53" t="str">
        <f>IF($E$7="Semana 1",'Semana 1'!W37,IF($E$7="Semana 2",'Semana 2'!W37,IF($E$7="Semana 3",'Semana 3'!W37,IF($E$7="Semana 4",'Semana 4'!W37,FALSE))))</f>
        <v/>
      </c>
      <c r="AS38" s="53" t="str">
        <f>IF($E$7="Semana 1",'Semana 1'!X37,IF($E$7="Semana 2",'Semana 2'!X37,IF($E$7="Semana 3",'Semana 3'!X37,IF($E$7="Semana 4",'Semana 4'!X37,FALSE))))</f>
        <v/>
      </c>
      <c r="AT38" s="52" t="str">
        <f>IF($E$7="Semana 1",'Semana 1'!Y37,IF($E$7="Semana 2",'Semana 2'!Y37,IF($E$7="Semana 3",'Semana 3'!Y37,IF($E$7="Semana 4",'Semana 4'!Y37,FALSE))))</f>
        <v>5.0</v>
      </c>
      <c r="AU38" s="52" t="str">
        <f>IF($E$7="Semana 1",'Semana 1'!Z37,IF($E$7="Semana 2",'Semana 2'!Z37,IF($E$7="Semana 3",'Semana 3'!Z37,IF($E$7="Semana 4",'Semana 4'!Z37,FALSE))))</f>
        <v>8.0</v>
      </c>
      <c r="AV38" s="52" t="str">
        <f>IF($E$7="Semana 1",'Semana 1'!AA37,IF($E$7="Semana 2",'Semana 2'!AA37,IF($E$7="Semana 3",'Semana 3'!AA37,IF($E$7="Semana 4",'Semana 4'!AA37,FALSE))))</f>
        <v>8.0</v>
      </c>
      <c r="AW38" s="52" t="str">
        <f>IF($E$7="Semana 1",'Semana 1'!AB37,IF($E$7="Semana 2",'Semana 2'!AB37,IF($E$7="Semana 3",'Semana 3'!AB37,IF($E$7="Semana 4",'Semana 4'!AB37,FALSE))))</f>
        <v>8.0</v>
      </c>
      <c r="AX38" s="52" t="str">
        <f>IF($E$7="Semana 1",'Semana 1'!AC37,IF($E$7="Semana 2",'Semana 2'!AC37,IF($E$7="Semana 3",'Semana 3'!AC37,IF($E$7="Semana 4",'Semana 4'!AC37,FALSE))))</f>
        <v>8.0</v>
      </c>
      <c r="AY38" s="52" t="str">
        <f>IF($E$7="Semana 1",'Semana 1'!AD37,IF($E$7="Semana 2",'Semana 2'!AD37,IF($E$7="Semana 3",'Semana 3'!AD37,IF($E$7="Semana 4",'Semana 4'!AD37,FALSE))))</f>
        <v>45.1</v>
      </c>
    </row>
    <row r="39" ht="15.75" customHeight="1">
      <c r="N39" s="183"/>
      <c r="Y39" s="18" t="str">
        <f t="shared" si="1"/>
        <v>33</v>
      </c>
      <c r="Z39" s="19" t="str">
        <f>IF($E$7="Semana 1",'Semana 1'!E38,IF($E$7="Semana 2",'Semana 2'!E38,IF($E$7="Semana 3",'Semana 3'!E38,IF($E$7="Semana 4",'Semana 4'!E38,FALSE))))</f>
        <v>-</v>
      </c>
      <c r="AA39" s="19" t="str">
        <f>IF($E$7="Semana 1",'Semana 1'!F38,IF($E$7="Semana 2",'Semana 2'!F38,IF($E$7="Semana 3",'Semana 3'!F38,IF($E$7="Semana 4",'Semana 4'!F38,FALSE))))</f>
        <v>Semana 1</v>
      </c>
      <c r="AB39" s="19" t="str">
        <f>IF($E$7="Semana 1",'Semana 1'!G38,IF($E$7="Semana 2",'Semana 2'!G38,IF($E$7="Semana 3",'Semana 3'!G38,IF($E$7="Semana 4",'Semana 4'!G38,FALSE))))</f>
        <v>-</v>
      </c>
      <c r="AC39" s="54" t="str">
        <f>IF($E$7="Semana 1",'Semana 1'!H38,IF($E$7="Semana 2",'Semana 2'!H38,IF($E$7="Semana 3",'Semana 3'!H38,IF($E$7="Semana 4",'Semana 4'!H38,FALSE))))</f>
        <v/>
      </c>
      <c r="AD39" s="54" t="str">
        <f>IF($E$7="Semana 1",'Semana 1'!I38,IF($E$7="Semana 2",'Semana 2'!I38,IF($E$7="Semana 3",'Semana 3'!I38,IF($E$7="Semana 4",'Semana 4'!I38,FALSE))))</f>
        <v> </v>
      </c>
      <c r="AE39" s="54" t="str">
        <f>IF($E$7="Semana 1",'Semana 1'!J38,IF($E$7="Semana 2",'Semana 2'!J38,IF($E$7="Semana 3",'Semana 3'!J38,IF($E$7="Semana 4",'Semana 4'!J38,FALSE))))</f>
        <v/>
      </c>
      <c r="AF39" s="54" t="str">
        <f>IF($E$7="Semana 1",'Semana 1'!K38,IF($E$7="Semana 2",'Semana 2'!K38,IF($E$7="Semana 3",'Semana 3'!K38,IF($E$7="Semana 4",'Semana 4'!K38,FALSE))))</f>
        <v> - </v>
      </c>
      <c r="AG39" s="54" t="str">
        <f>IF($E$7="Semana 1",'Semana 1'!L38,IF($E$7="Semana 2",'Semana 2'!L38,IF($E$7="Semana 3",'Semana 3'!L38,IF($E$7="Semana 4",'Semana 4'!L38,FALSE))))</f>
        <v/>
      </c>
      <c r="AH39" s="54" t="str">
        <f>IF($E$7="Semana 1",'Semana 1'!M38,IF($E$7="Semana 2",'Semana 2'!M38,IF($E$7="Semana 3",'Semana 3'!M38,IF($E$7="Semana 4",'Semana 4'!M38,FALSE))))</f>
        <v> - </v>
      </c>
      <c r="AI39" s="54" t="str">
        <f>IF($E$7="Semana 1",'Semana 1'!N38,IF($E$7="Semana 2",'Semana 2'!N38,IF($E$7="Semana 3",'Semana 3'!N38,IF($E$7="Semana 4",'Semana 4'!N38,FALSE))))</f>
        <v/>
      </c>
      <c r="AJ39" s="54" t="str">
        <f>IF($E$7="Semana 1",'Semana 1'!O38,IF($E$7="Semana 2",'Semana 2'!O38,IF($E$7="Semana 3",'Semana 3'!O38,IF($E$7="Semana 4",'Semana 4'!O38,FALSE))))</f>
        <v> - </v>
      </c>
      <c r="AK39" s="55" t="str">
        <f>IF($E$7="Semana 1",'Semana 1'!P38,IF($E$7="Semana 2",'Semana 2'!P38,IF($E$7="Semana 3",'Semana 3'!P38,IF($E$7="Semana 4",'Semana 4'!P38,FALSE))))</f>
        <v>-1.0</v>
      </c>
      <c r="AL39" s="54" t="str">
        <f>IF($E$7="Semana 1",'Semana 1'!Q38,IF($E$7="Semana 2",'Semana 2'!Q38,IF($E$7="Semana 3",'Semana 3'!Q38,IF($E$7="Semana 4",'Semana 4'!Q38,FALSE))))</f>
        <v/>
      </c>
      <c r="AM39" s="54" t="str">
        <f>IF($E$7="Semana 1",'Semana 1'!R38,IF($E$7="Semana 2",'Semana 2'!R38,IF($E$7="Semana 3",'Semana 3'!R38,IF($E$7="Semana 4",'Semana 4'!R38,FALSE))))</f>
        <v/>
      </c>
      <c r="AN39" s="54" t="str">
        <f>IF($E$7="Semana 1",'Semana 1'!S38,IF($E$7="Semana 2",'Semana 2'!S38,IF($E$7="Semana 3",'Semana 3'!S38,IF($E$7="Semana 4",'Semana 4'!S38,FALSE))))</f>
        <v/>
      </c>
      <c r="AO39" s="54" t="str">
        <f>IF($E$7="Semana 1",'Semana 1'!T38,IF($E$7="Semana 2",'Semana 2'!T38,IF($E$7="Semana 3",'Semana 3'!T38,IF($E$7="Semana 4",'Semana 4'!T38,FALSE))))</f>
        <v/>
      </c>
      <c r="AP39" s="54" t="str">
        <f>IF($E$7="Semana 1",'Semana 1'!U38,IF($E$7="Semana 2",'Semana 2'!U38,IF($E$7="Semana 3",'Semana 3'!U38,IF($E$7="Semana 4",'Semana 4'!U38,FALSE))))</f>
        <v/>
      </c>
      <c r="AQ39" s="54" t="str">
        <f>IF($E$7="Semana 1",'Semana 1'!V38,IF($E$7="Semana 2",'Semana 2'!V38,IF($E$7="Semana 3",'Semana 3'!V38,IF($E$7="Semana 4",'Semana 4'!V38,FALSE))))</f>
        <v/>
      </c>
      <c r="AR39" s="54" t="str">
        <f>IF($E$7="Semana 1",'Semana 1'!W38,IF($E$7="Semana 2",'Semana 2'!W38,IF($E$7="Semana 3",'Semana 3'!W38,IF($E$7="Semana 4",'Semana 4'!W38,FALSE))))</f>
        <v/>
      </c>
      <c r="AS39" s="54" t="str">
        <f>IF($E$7="Semana 1",'Semana 1'!X38,IF($E$7="Semana 2",'Semana 2'!X38,IF($E$7="Semana 3",'Semana 3'!X38,IF($E$7="Semana 4",'Semana 4'!X38,FALSE))))</f>
        <v/>
      </c>
      <c r="AT39" s="55" t="str">
        <f>IF($E$7="Semana 1",'Semana 1'!Y38,IF($E$7="Semana 2",'Semana 2'!Y38,IF($E$7="Semana 3",'Semana 3'!Y38,IF($E$7="Semana 4",'Semana 4'!Y38,FALSE))))</f>
        <v>0.0</v>
      </c>
      <c r="AU39" s="55" t="str">
        <f>IF($E$7="Semana 1",'Semana 1'!Z38,IF($E$7="Semana 2",'Semana 2'!Z38,IF($E$7="Semana 3",'Semana 3'!Z38,IF($E$7="Semana 4",'Semana 4'!Z38,FALSE))))</f>
        <v>-1.0</v>
      </c>
      <c r="AV39" s="55" t="str">
        <f>IF($E$7="Semana 1",'Semana 1'!AA38,IF($E$7="Semana 2",'Semana 2'!AA38,IF($E$7="Semana 3",'Semana 3'!AA38,IF($E$7="Semana 4",'Semana 4'!AA38,FALSE))))</f>
        <v>-1.0</v>
      </c>
      <c r="AW39" s="55" t="str">
        <f>IF($E$7="Semana 1",'Semana 1'!AB38,IF($E$7="Semana 2",'Semana 2'!AB38,IF($E$7="Semana 3",'Semana 3'!AB38,IF($E$7="Semana 4",'Semana 4'!AB38,FALSE))))</f>
        <v>-1.0</v>
      </c>
      <c r="AX39" s="55" t="str">
        <f>IF($E$7="Semana 1",'Semana 1'!AC38,IF($E$7="Semana 2",'Semana 2'!AC38,IF($E$7="Semana 3",'Semana 3'!AC38,IF($E$7="Semana 4",'Semana 4'!AC38,FALSE))))</f>
        <v>-1.0</v>
      </c>
      <c r="AY39" s="55" t="str">
        <f>IF($E$7="Semana 1",'Semana 1'!AD38,IF($E$7="Semana 2",'Semana 2'!AD38,IF($E$7="Semana 3",'Semana 3'!AD38,IF($E$7="Semana 4",'Semana 4'!AD38,FALSE))))</f>
        <v>-5.0</v>
      </c>
    </row>
    <row r="40" ht="15.75" customHeight="1">
      <c r="N40" s="183"/>
      <c r="Y40" s="179" t="str">
        <f t="shared" si="1"/>
        <v>34</v>
      </c>
      <c r="Z40" s="180" t="str">
        <f>IF($E$7="Semana 1",'Semana 1'!E39,IF($E$7="Semana 2",'Semana 2'!E39,IF($E$7="Semana 3",'Semana 3'!E39,IF($E$7="Semana 4",'Semana 4'!E39,FALSE))))</f>
        <v>Diego Leonardo Patzan Patzan</v>
      </c>
      <c r="AA40" s="180" t="str">
        <f>IF($E$7="Semana 1",'Semana 1'!F39,IF($E$7="Semana 2",'Semana 2'!F39,IF($E$7="Semana 3",'Semana 3'!F39,IF($E$7="Semana 4",'Semana 4'!F39,FALSE))))</f>
        <v>Semana 1</v>
      </c>
      <c r="AB40" s="180" t="str">
        <f>IF($E$7="Semana 1",'Semana 1'!G39,IF($E$7="Semana 2",'Semana 2'!G39,IF($E$7="Semana 3",'Semana 3'!G39,IF($E$7="Semana 4",'Semana 4'!G39,FALSE))))</f>
        <v>AGENTE</v>
      </c>
      <c r="AC40" s="51" t="str">
        <f>IF($E$7="Semana 1",'Semana 1'!H39,IF($E$7="Semana 2",'Semana 2'!H39,IF($E$7="Semana 3",'Semana 3'!H39,IF($E$7="Semana 4",'Semana 4'!H39,FALSE))))</f>
        <v>8:00</v>
      </c>
      <c r="AD40" s="51" t="str">
        <f>IF($E$7="Semana 1",'Semana 1'!I39,IF($E$7="Semana 2",'Semana 2'!I39,IF($E$7="Semana 3",'Semana 3'!I39,IF($E$7="Semana 4",'Semana 4'!I39,FALSE))))</f>
        <v>16:30</v>
      </c>
      <c r="AE40" s="51" t="str">
        <f>IF($E$7="Semana 1",'Semana 1'!J39,IF($E$7="Semana 2",'Semana 2'!J39,IF($E$7="Semana 3",'Semana 3'!J39,IF($E$7="Semana 4",'Semana 4'!J39,FALSE))))</f>
        <v>12:00</v>
      </c>
      <c r="AF40" s="51" t="str">
        <f>IF($E$7="Semana 1",'Semana 1'!K39,IF($E$7="Semana 2",'Semana 2'!K39,IF($E$7="Semana 3",'Semana 3'!K39,IF($E$7="Semana 4",'Semana 4'!K39,FALSE))))</f>
        <v>13:00</v>
      </c>
      <c r="AG40" s="51" t="str">
        <f>IF($E$7="Semana 1",'Semana 1'!L39,IF($E$7="Semana 2",'Semana 2'!L39,IF($E$7="Semana 3",'Semana 3'!L39,IF($E$7="Semana 4",'Semana 4'!L39,FALSE))))</f>
        <v>8:30</v>
      </c>
      <c r="AH40" s="51" t="str">
        <f>IF($E$7="Semana 1",'Semana 1'!M39,IF($E$7="Semana 2",'Semana 2'!M39,IF($E$7="Semana 3",'Semana 3'!M39,IF($E$7="Semana 4",'Semana 4'!M39,FALSE))))</f>
        <v>8:50</v>
      </c>
      <c r="AI40" s="51" t="str">
        <f>IF($E$7="Semana 1",'Semana 1'!N39,IF($E$7="Semana 2",'Semana 2'!N39,IF($E$7="Semana 3",'Semana 3'!N39,IF($E$7="Semana 4",'Semana 4'!N39,FALSE))))</f>
        <v>3:30</v>
      </c>
      <c r="AJ40" s="51" t="str">
        <f>IF($E$7="Semana 1",'Semana 1'!O39,IF($E$7="Semana 2",'Semana 2'!O39,IF($E$7="Semana 3",'Semana 3'!O39,IF($E$7="Semana 4",'Semana 4'!O39,FALSE))))</f>
        <v>3:40</v>
      </c>
      <c r="AK40" s="52" t="str">
        <f>IF($E$7="Semana 1",'Semana 1'!P39,IF($E$7="Semana 2",'Semana 2'!P39,IF($E$7="Semana 3",'Semana 3'!P39,IF($E$7="Semana 4",'Semana 4'!P39,FALSE))))</f>
        <v>7.5</v>
      </c>
      <c r="AL40" s="51" t="str">
        <f>IF($E$7="Semana 1",'Semana 1'!Q39,IF($E$7="Semana 2",'Semana 2'!Q39,IF($E$7="Semana 3",'Semana 3'!Q39,IF($E$7="Semana 4",'Semana 4'!Q39,FALSE))))</f>
        <v>8:30</v>
      </c>
      <c r="AM40" s="51" t="str">
        <f>IF($E$7="Semana 1",'Semana 1'!R39,IF($E$7="Semana 2",'Semana 2'!R39,IF($E$7="Semana 3",'Semana 3'!R39,IF($E$7="Semana 4",'Semana 4'!R39,FALSE))))</f>
        <v>16:00</v>
      </c>
      <c r="AN40" s="53" t="str">
        <f>IF($E$7="Semana 1",'Semana 1'!S39,IF($E$7="Semana 2",'Semana 2'!S39,IF($E$7="Semana 3",'Semana 3'!S39,IF($E$7="Semana 4",'Semana 4'!S39,FALSE))))</f>
        <v/>
      </c>
      <c r="AO40" s="53" t="str">
        <f>IF($E$7="Semana 1",'Semana 1'!T39,IF($E$7="Semana 2",'Semana 2'!T39,IF($E$7="Semana 3",'Semana 3'!T39,IF($E$7="Semana 4",'Semana 4'!T39,FALSE))))</f>
        <v/>
      </c>
      <c r="AP40" s="51" t="str">
        <f>IF($E$7="Semana 1",'Semana 1'!U39,IF($E$7="Semana 2",'Semana 2'!U39,IF($E$7="Semana 3",'Semana 3'!U39,IF($E$7="Semana 4",'Semana 4'!U39,FALSE))))</f>
        <v>13:00</v>
      </c>
      <c r="AQ40" s="51" t="str">
        <f>IF($E$7="Semana 1",'Semana 1'!V39,IF($E$7="Semana 2",'Semana 2'!V39,IF($E$7="Semana 3",'Semana 3'!V39,IF($E$7="Semana 4",'Semana 4'!V39,FALSE))))</f>
        <v>13:30</v>
      </c>
      <c r="AR40" s="53" t="str">
        <f>IF($E$7="Semana 1",'Semana 1'!W39,IF($E$7="Semana 2",'Semana 2'!W39,IF($E$7="Semana 3",'Semana 3'!W39,IF($E$7="Semana 4",'Semana 4'!W39,FALSE))))</f>
        <v/>
      </c>
      <c r="AS40" s="53" t="str">
        <f>IF($E$7="Semana 1",'Semana 1'!X39,IF($E$7="Semana 2",'Semana 2'!X39,IF($E$7="Semana 3",'Semana 3'!X39,IF($E$7="Semana 4",'Semana 4'!X39,FALSE))))</f>
        <v/>
      </c>
      <c r="AT40" s="52" t="str">
        <f>IF($E$7="Semana 1",'Semana 1'!Y39,IF($E$7="Semana 2",'Semana 2'!Y39,IF($E$7="Semana 3",'Semana 3'!Y39,IF($E$7="Semana 4",'Semana 4'!Y39,FALSE))))</f>
        <v>7.5</v>
      </c>
      <c r="AU40" s="52" t="str">
        <f>IF($E$7="Semana 1",'Semana 1'!Z39,IF($E$7="Semana 2",'Semana 2'!Z39,IF($E$7="Semana 3",'Semana 3'!Z39,IF($E$7="Semana 4",'Semana 4'!Z39,FALSE))))</f>
        <v>7.5</v>
      </c>
      <c r="AV40" s="52" t="str">
        <f>IF($E$7="Semana 1",'Semana 1'!AA39,IF($E$7="Semana 2",'Semana 2'!AA39,IF($E$7="Semana 3",'Semana 3'!AA39,IF($E$7="Semana 4",'Semana 4'!AA39,FALSE))))</f>
        <v>7.5</v>
      </c>
      <c r="AW40" s="52" t="str">
        <f>IF($E$7="Semana 1",'Semana 1'!AB39,IF($E$7="Semana 2",'Semana 2'!AB39,IF($E$7="Semana 3",'Semana 3'!AB39,IF($E$7="Semana 4",'Semana 4'!AB39,FALSE))))</f>
        <v>7.5</v>
      </c>
      <c r="AX40" s="52" t="str">
        <f>IF($E$7="Semana 1",'Semana 1'!AC39,IF($E$7="Semana 2",'Semana 2'!AC39,IF($E$7="Semana 3",'Semana 3'!AC39,IF($E$7="Semana 4",'Semana 4'!AC39,FALSE))))</f>
        <v>7.5</v>
      </c>
      <c r="AY40" s="52" t="str">
        <f>IF($E$7="Semana 1",'Semana 1'!AD39,IF($E$7="Semana 2",'Semana 2'!AD39,IF($E$7="Semana 3",'Semana 3'!AD39,IF($E$7="Semana 4",'Semana 4'!AD39,FALSE))))</f>
        <v>45.0</v>
      </c>
    </row>
    <row r="41" ht="15.75" customHeight="1">
      <c r="N41" s="183"/>
      <c r="Y41" s="18" t="str">
        <f t="shared" si="1"/>
        <v>35</v>
      </c>
      <c r="Z41" s="19" t="str">
        <f>IF($E$7="Semana 1",'Semana 1'!E40,IF($E$7="Semana 2",'Semana 2'!E40,IF($E$7="Semana 3",'Semana 3'!E40,IF($E$7="Semana 4",'Semana 4'!E40,FALSE))))</f>
        <v>Erick Gabriel Velasquez Marroquin</v>
      </c>
      <c r="AA41" s="19" t="str">
        <f>IF($E$7="Semana 1",'Semana 1'!F40,IF($E$7="Semana 2",'Semana 2'!F40,IF($E$7="Semana 3",'Semana 3'!F40,IF($E$7="Semana 4",'Semana 4'!F40,FALSE))))</f>
        <v>Semana 1</v>
      </c>
      <c r="AB41" s="19" t="str">
        <f>IF($E$7="Semana 1",'Semana 1'!G40,IF($E$7="Semana 2",'Semana 2'!G40,IF($E$7="Semana 3",'Semana 3'!G40,IF($E$7="Semana 4",'Semana 4'!G40,FALSE))))</f>
        <v>AGENTE</v>
      </c>
      <c r="AC41" s="54" t="str">
        <f>IF($E$7="Semana 1",'Semana 1'!H40,IF($E$7="Semana 2",'Semana 2'!H40,IF($E$7="Semana 3",'Semana 3'!H40,IF($E$7="Semana 4",'Semana 4'!H40,FALSE))))</f>
        <v>9:00</v>
      </c>
      <c r="AD41" s="54" t="str">
        <f>IF($E$7="Semana 1",'Semana 1'!I40,IF($E$7="Semana 2",'Semana 2'!I40,IF($E$7="Semana 3",'Semana 3'!I40,IF($E$7="Semana 4",'Semana 4'!I40,FALSE))))</f>
        <v>18:00</v>
      </c>
      <c r="AE41" s="54" t="str">
        <f>IF($E$7="Semana 1",'Semana 1'!J40,IF($E$7="Semana 2",'Semana 2'!J40,IF($E$7="Semana 3",'Semana 3'!J40,IF($E$7="Semana 4",'Semana 4'!J40,FALSE))))</f>
        <v>13:00</v>
      </c>
      <c r="AF41" s="54" t="str">
        <f>IF($E$7="Semana 1",'Semana 1'!K40,IF($E$7="Semana 2",'Semana 2'!K40,IF($E$7="Semana 3",'Semana 3'!K40,IF($E$7="Semana 4",'Semana 4'!K40,FALSE))))</f>
        <v>14:00</v>
      </c>
      <c r="AG41" s="54" t="str">
        <f>IF($E$7="Semana 1",'Semana 1'!L40,IF($E$7="Semana 2",'Semana 2'!L40,IF($E$7="Semana 3",'Semana 3'!L40,IF($E$7="Semana 4",'Semana 4'!L40,FALSE))))</f>
        <v>7:00</v>
      </c>
      <c r="AH41" s="54" t="str">
        <f>IF($E$7="Semana 1",'Semana 1'!M40,IF($E$7="Semana 2",'Semana 2'!M40,IF($E$7="Semana 3",'Semana 3'!M40,IF($E$7="Semana 4",'Semana 4'!M40,FALSE))))</f>
        <v>7:20</v>
      </c>
      <c r="AI41" s="54" t="str">
        <f>IF($E$7="Semana 1",'Semana 1'!N40,IF($E$7="Semana 2",'Semana 2'!N40,IF($E$7="Semana 3",'Semana 3'!N40,IF($E$7="Semana 4",'Semana 4'!N40,FALSE))))</f>
        <v>16:15</v>
      </c>
      <c r="AJ41" s="54" t="str">
        <f>IF($E$7="Semana 1",'Semana 1'!O40,IF($E$7="Semana 2",'Semana 2'!O40,IF($E$7="Semana 3",'Semana 3'!O40,IF($E$7="Semana 4",'Semana 4'!O40,FALSE))))</f>
        <v>16:25</v>
      </c>
      <c r="AK41" s="55" t="str">
        <f>IF($E$7="Semana 1",'Semana 1'!P40,IF($E$7="Semana 2",'Semana 2'!P40,IF($E$7="Semana 3",'Semana 3'!P40,IF($E$7="Semana 4",'Semana 4'!P40,FALSE))))</f>
        <v>8.0</v>
      </c>
      <c r="AL41" s="54" t="str">
        <f>IF($E$7="Semana 1",'Semana 1'!Q40,IF($E$7="Semana 2",'Semana 2'!Q40,IF($E$7="Semana 3",'Semana 3'!Q40,IF($E$7="Semana 4",'Semana 4'!Q40,FALSE))))</f>
        <v>9:00</v>
      </c>
      <c r="AM41" s="54" t="str">
        <f>IF($E$7="Semana 1",'Semana 1'!R40,IF($E$7="Semana 2",'Semana 2'!R40,IF($E$7="Semana 3",'Semana 3'!R40,IF($E$7="Semana 4",'Semana 4'!R40,FALSE))))</f>
        <v>14:00</v>
      </c>
      <c r="AN41" s="56" t="str">
        <f>IF($E$7="Semana 1",'Semana 1'!S40,IF($E$7="Semana 2",'Semana 2'!S40,IF($E$7="Semana 3",'Semana 3'!S40,IF($E$7="Semana 4",'Semana 4'!S40,FALSE))))</f>
        <v/>
      </c>
      <c r="AO41" s="56" t="str">
        <f>IF($E$7="Semana 1",'Semana 1'!T40,IF($E$7="Semana 2",'Semana 2'!T40,IF($E$7="Semana 3",'Semana 3'!T40,IF($E$7="Semana 4",'Semana 4'!T40,FALSE))))</f>
        <v/>
      </c>
      <c r="AP41" s="54" t="str">
        <f>IF($E$7="Semana 1",'Semana 1'!U40,IF($E$7="Semana 2",'Semana 2'!U40,IF($E$7="Semana 3",'Semana 3'!U40,IF($E$7="Semana 4",'Semana 4'!U40,FALSE))))</f>
        <v>13:30</v>
      </c>
      <c r="AQ41" s="54" t="str">
        <f>IF($E$7="Semana 1",'Semana 1'!V40,IF($E$7="Semana 2",'Semana 2'!V40,IF($E$7="Semana 3",'Semana 3'!V40,IF($E$7="Semana 4",'Semana 4'!V40,FALSE))))</f>
        <v>14:00</v>
      </c>
      <c r="AR41" s="56" t="str">
        <f>IF($E$7="Semana 1",'Semana 1'!W40,IF($E$7="Semana 2",'Semana 2'!W40,IF($E$7="Semana 3",'Semana 3'!W40,IF($E$7="Semana 4",'Semana 4'!W40,FALSE))))</f>
        <v/>
      </c>
      <c r="AS41" s="56" t="str">
        <f>IF($E$7="Semana 1",'Semana 1'!X40,IF($E$7="Semana 2",'Semana 2'!X40,IF($E$7="Semana 3",'Semana 3'!X40,IF($E$7="Semana 4",'Semana 4'!X40,FALSE))))</f>
        <v/>
      </c>
      <c r="AT41" s="55" t="str">
        <f>IF($E$7="Semana 1",'Semana 1'!Y40,IF($E$7="Semana 2",'Semana 2'!Y40,IF($E$7="Semana 3",'Semana 3'!Y40,IF($E$7="Semana 4",'Semana 4'!Y40,FALSE))))</f>
        <v>5.0</v>
      </c>
      <c r="AU41" s="55" t="str">
        <f>IF($E$7="Semana 1",'Semana 1'!Z40,IF($E$7="Semana 2",'Semana 2'!Z40,IF($E$7="Semana 3",'Semana 3'!Z40,IF($E$7="Semana 4",'Semana 4'!Z40,FALSE))))</f>
        <v>8.0</v>
      </c>
      <c r="AV41" s="55" t="str">
        <f>IF($E$7="Semana 1",'Semana 1'!AA40,IF($E$7="Semana 2",'Semana 2'!AA40,IF($E$7="Semana 3",'Semana 3'!AA40,IF($E$7="Semana 4",'Semana 4'!AA40,FALSE))))</f>
        <v>8.0</v>
      </c>
      <c r="AW41" s="55" t="str">
        <f>IF($E$7="Semana 1",'Semana 1'!AB40,IF($E$7="Semana 2",'Semana 2'!AB40,IF($E$7="Semana 3",'Semana 3'!AB40,IF($E$7="Semana 4",'Semana 4'!AB40,FALSE))))</f>
        <v>8.0</v>
      </c>
      <c r="AX41" s="55" t="str">
        <f>IF($E$7="Semana 1",'Semana 1'!AC40,IF($E$7="Semana 2",'Semana 2'!AC40,IF($E$7="Semana 3",'Semana 3'!AC40,IF($E$7="Semana 4",'Semana 4'!AC40,FALSE))))</f>
        <v>8.0</v>
      </c>
      <c r="AY41" s="55" t="str">
        <f>IF($E$7="Semana 1",'Semana 1'!AD40,IF($E$7="Semana 2",'Semana 2'!AD40,IF($E$7="Semana 3",'Semana 3'!AD40,IF($E$7="Semana 4",'Semana 4'!AD40,FALSE))))</f>
        <v>45.1</v>
      </c>
    </row>
    <row r="42" ht="15.75" customHeight="1">
      <c r="N42" s="183"/>
      <c r="Y42" s="179" t="str">
        <f t="shared" si="1"/>
        <v>36</v>
      </c>
      <c r="Z42" s="180" t="str">
        <f>IF($E$7="Semana 1",'Semana 1'!E41,IF($E$7="Semana 2",'Semana 2'!E41,IF($E$7="Semana 3",'Semana 3'!E41,IF($E$7="Semana 4",'Semana 4'!E41,FALSE))))</f>
        <v>Catherine Patricia Castillo Monzon </v>
      </c>
      <c r="AA42" s="180" t="str">
        <f>IF($E$7="Semana 1",'Semana 1'!F41,IF($E$7="Semana 2",'Semana 2'!F41,IF($E$7="Semana 3",'Semana 3'!F41,IF($E$7="Semana 4",'Semana 4'!F41,FALSE))))</f>
        <v>Semana 1</v>
      </c>
      <c r="AB42" s="180" t="str">
        <f>IF($E$7="Semana 1",'Semana 1'!G41,IF($E$7="Semana 2",'Semana 2'!G41,IF($E$7="Semana 3",'Semana 3'!G41,IF($E$7="Semana 4",'Semana 4'!G41,FALSE))))</f>
        <v>AGENTE</v>
      </c>
      <c r="AC42" s="51" t="str">
        <f>IF($E$7="Semana 1",'Semana 1'!H41,IF($E$7="Semana 2",'Semana 2'!H41,IF($E$7="Semana 3",'Semana 3'!H41,IF($E$7="Semana 4",'Semana 4'!H41,FALSE))))</f>
        <v>8:00</v>
      </c>
      <c r="AD42" s="51" t="str">
        <f>IF($E$7="Semana 1",'Semana 1'!I41,IF($E$7="Semana 2",'Semana 2'!I41,IF($E$7="Semana 3",'Semana 3'!I41,IF($E$7="Semana 4",'Semana 4'!I41,FALSE))))</f>
        <v>17:00</v>
      </c>
      <c r="AE42" s="51" t="str">
        <f>IF($E$7="Semana 1",'Semana 1'!J41,IF($E$7="Semana 2",'Semana 2'!J41,IF($E$7="Semana 3",'Semana 3'!J41,IF($E$7="Semana 4",'Semana 4'!J41,FALSE))))</f>
        <v>13:00</v>
      </c>
      <c r="AF42" s="51" t="str">
        <f>IF($E$7="Semana 1",'Semana 1'!K41,IF($E$7="Semana 2",'Semana 2'!K41,IF($E$7="Semana 3",'Semana 3'!K41,IF($E$7="Semana 4",'Semana 4'!K41,FALSE))))</f>
        <v>14:00</v>
      </c>
      <c r="AG42" s="51" t="str">
        <f>IF($E$7="Semana 1",'Semana 1'!L41,IF($E$7="Semana 2",'Semana 2'!L41,IF($E$7="Semana 3",'Semana 3'!L41,IF($E$7="Semana 4",'Semana 4'!L41,FALSE))))</f>
        <v>9:30</v>
      </c>
      <c r="AH42" s="51" t="str">
        <f>IF($E$7="Semana 1",'Semana 1'!M41,IF($E$7="Semana 2",'Semana 2'!M41,IF($E$7="Semana 3",'Semana 3'!M41,IF($E$7="Semana 4",'Semana 4'!M41,FALSE))))</f>
        <v>9:50</v>
      </c>
      <c r="AI42" s="51" t="str">
        <f>IF($E$7="Semana 1",'Semana 1'!N41,IF($E$7="Semana 2",'Semana 2'!N41,IF($E$7="Semana 3",'Semana 3'!N41,IF($E$7="Semana 4",'Semana 4'!N41,FALSE))))</f>
        <v>16:45</v>
      </c>
      <c r="AJ42" s="51" t="str">
        <f>IF($E$7="Semana 1",'Semana 1'!O41,IF($E$7="Semana 2",'Semana 2'!O41,IF($E$7="Semana 3",'Semana 3'!O41,IF($E$7="Semana 4",'Semana 4'!O41,FALSE))))</f>
        <v>16:55</v>
      </c>
      <c r="AK42" s="52" t="str">
        <f>IF($E$7="Semana 1",'Semana 1'!P41,IF($E$7="Semana 2",'Semana 2'!P41,IF($E$7="Semana 3",'Semana 3'!P41,IF($E$7="Semana 4",'Semana 4'!P41,FALSE))))</f>
        <v>8.0</v>
      </c>
      <c r="AL42" s="51" t="str">
        <f>IF($E$7="Semana 1",'Semana 1'!Q41,IF($E$7="Semana 2",'Semana 2'!Q41,IF($E$7="Semana 3",'Semana 3'!Q41,IF($E$7="Semana 4",'Semana 4'!Q41,FALSE))))</f>
        <v>8:00</v>
      </c>
      <c r="AM42" s="51" t="str">
        <f>IF($E$7="Semana 1",'Semana 1'!R41,IF($E$7="Semana 2",'Semana 2'!R41,IF($E$7="Semana 3",'Semana 3'!R41,IF($E$7="Semana 4",'Semana 4'!R41,FALSE))))</f>
        <v>13:00</v>
      </c>
      <c r="AN42" s="53" t="str">
        <f>IF($E$7="Semana 1",'Semana 1'!S41,IF($E$7="Semana 2",'Semana 2'!S41,IF($E$7="Semana 3",'Semana 3'!S41,IF($E$7="Semana 4",'Semana 4'!S41,FALSE))))</f>
        <v/>
      </c>
      <c r="AO42" s="53" t="str">
        <f>IF($E$7="Semana 1",'Semana 1'!T41,IF($E$7="Semana 2",'Semana 2'!T41,IF($E$7="Semana 3",'Semana 3'!T41,IF($E$7="Semana 4",'Semana 4'!T41,FALSE))))</f>
        <v/>
      </c>
      <c r="AP42" s="51" t="str">
        <f>IF($E$7="Semana 1",'Semana 1'!U41,IF($E$7="Semana 2",'Semana 2'!U41,IF($E$7="Semana 3",'Semana 3'!U41,IF($E$7="Semana 4",'Semana 4'!U41,FALSE))))</f>
        <v>10:30</v>
      </c>
      <c r="AQ42" s="51" t="str">
        <f>IF($E$7="Semana 1",'Semana 1'!V41,IF($E$7="Semana 2",'Semana 2'!V41,IF($E$7="Semana 3",'Semana 3'!V41,IF($E$7="Semana 4",'Semana 4'!V41,FALSE))))</f>
        <v>11:00</v>
      </c>
      <c r="AR42" s="53" t="str">
        <f>IF($E$7="Semana 1",'Semana 1'!W41,IF($E$7="Semana 2",'Semana 2'!W41,IF($E$7="Semana 3",'Semana 3'!W41,IF($E$7="Semana 4",'Semana 4'!W41,FALSE))))</f>
        <v/>
      </c>
      <c r="AS42" s="53" t="str">
        <f>IF($E$7="Semana 1",'Semana 1'!X41,IF($E$7="Semana 2",'Semana 2'!X41,IF($E$7="Semana 3",'Semana 3'!X41,IF($E$7="Semana 4",'Semana 4'!X41,FALSE))))</f>
        <v/>
      </c>
      <c r="AT42" s="52" t="str">
        <f>IF($E$7="Semana 1",'Semana 1'!Y41,IF($E$7="Semana 2",'Semana 2'!Y41,IF($E$7="Semana 3",'Semana 3'!Y41,IF($E$7="Semana 4",'Semana 4'!Y41,FALSE))))</f>
        <v>5.0</v>
      </c>
      <c r="AU42" s="52" t="str">
        <f>IF($E$7="Semana 1",'Semana 1'!Z41,IF($E$7="Semana 2",'Semana 2'!Z41,IF($E$7="Semana 3",'Semana 3'!Z41,IF($E$7="Semana 4",'Semana 4'!Z41,FALSE))))</f>
        <v>8.0</v>
      </c>
      <c r="AV42" s="52" t="str">
        <f>IF($E$7="Semana 1",'Semana 1'!AA41,IF($E$7="Semana 2",'Semana 2'!AA41,IF($E$7="Semana 3",'Semana 3'!AA41,IF($E$7="Semana 4",'Semana 4'!AA41,FALSE))))</f>
        <v>8.0</v>
      </c>
      <c r="AW42" s="52" t="str">
        <f>IF($E$7="Semana 1",'Semana 1'!AB41,IF($E$7="Semana 2",'Semana 2'!AB41,IF($E$7="Semana 3",'Semana 3'!AB41,IF($E$7="Semana 4",'Semana 4'!AB41,FALSE))))</f>
        <v>8.0</v>
      </c>
      <c r="AX42" s="52" t="str">
        <f>IF($E$7="Semana 1",'Semana 1'!AC41,IF($E$7="Semana 2",'Semana 2'!AC41,IF($E$7="Semana 3",'Semana 3'!AC41,IF($E$7="Semana 4",'Semana 4'!AC41,FALSE))))</f>
        <v>8.0</v>
      </c>
      <c r="AY42" s="52" t="str">
        <f>IF($E$7="Semana 1",'Semana 1'!AD41,IF($E$7="Semana 2",'Semana 2'!AD41,IF($E$7="Semana 3",'Semana 3'!AD41,IF($E$7="Semana 4",'Semana 4'!AD41,FALSE))))</f>
        <v>45.1</v>
      </c>
    </row>
    <row r="43" ht="15.75" customHeight="1">
      <c r="N43" s="183"/>
      <c r="Y43" s="18" t="str">
        <f t="shared" si="1"/>
        <v>37</v>
      </c>
      <c r="Z43" s="19" t="str">
        <f>IF($E$7="Semana 1",'Semana 1'!E42,IF($E$7="Semana 2",'Semana 2'!E42,IF($E$7="Semana 3",'Semana 3'!E42,IF($E$7="Semana 4",'Semana 4'!E42,FALSE))))</f>
        <v>Yandira Yaneth Balcarcel Perez</v>
      </c>
      <c r="AA43" s="19" t="str">
        <f>IF($E$7="Semana 1",'Semana 1'!F42,IF($E$7="Semana 2",'Semana 2'!F42,IF($E$7="Semana 3",'Semana 3'!F42,IF($E$7="Semana 4",'Semana 4'!F42,FALSE))))</f>
        <v>Semana 1</v>
      </c>
      <c r="AB43" s="19" t="str">
        <f>IF($E$7="Semana 1",'Semana 1'!G42,IF($E$7="Semana 2",'Semana 2'!G42,IF($E$7="Semana 3",'Semana 3'!G42,IF($E$7="Semana 4",'Semana 4'!G42,FALSE))))</f>
        <v>CONTROL</v>
      </c>
      <c r="AC43" s="54" t="str">
        <f>IF($E$7="Semana 1",'Semana 1'!H42,IF($E$7="Semana 2",'Semana 2'!H42,IF($E$7="Semana 3",'Semana 3'!H42,IF($E$7="Semana 4",'Semana 4'!H42,FALSE))))</f>
        <v/>
      </c>
      <c r="AD43" s="54" t="str">
        <f>IF($E$7="Semana 1",'Semana 1'!I42,IF($E$7="Semana 2",'Semana 2'!I42,IF($E$7="Semana 3",'Semana 3'!I42,IF($E$7="Semana 4",'Semana 4'!I42,FALSE))))</f>
        <v> </v>
      </c>
      <c r="AE43" s="54" t="str">
        <f>IF($E$7="Semana 1",'Semana 1'!J42,IF($E$7="Semana 2",'Semana 2'!J42,IF($E$7="Semana 3",'Semana 3'!J42,IF($E$7="Semana 4",'Semana 4'!J42,FALSE))))</f>
        <v/>
      </c>
      <c r="AF43" s="54" t="str">
        <f>IF($E$7="Semana 1",'Semana 1'!K42,IF($E$7="Semana 2",'Semana 2'!K42,IF($E$7="Semana 3",'Semana 3'!K42,IF($E$7="Semana 4",'Semana 4'!K42,FALSE))))</f>
        <v> - </v>
      </c>
      <c r="AG43" s="54" t="str">
        <f>IF($E$7="Semana 1",'Semana 1'!L42,IF($E$7="Semana 2",'Semana 2'!L42,IF($E$7="Semana 3",'Semana 3'!L42,IF($E$7="Semana 4",'Semana 4'!L42,FALSE))))</f>
        <v/>
      </c>
      <c r="AH43" s="54" t="str">
        <f>IF($E$7="Semana 1",'Semana 1'!M42,IF($E$7="Semana 2",'Semana 2'!M42,IF($E$7="Semana 3",'Semana 3'!M42,IF($E$7="Semana 4",'Semana 4'!M42,FALSE))))</f>
        <v> - </v>
      </c>
      <c r="AI43" s="54" t="str">
        <f>IF($E$7="Semana 1",'Semana 1'!N42,IF($E$7="Semana 2",'Semana 2'!N42,IF($E$7="Semana 3",'Semana 3'!N42,IF($E$7="Semana 4",'Semana 4'!N42,FALSE))))</f>
        <v/>
      </c>
      <c r="AJ43" s="54" t="str">
        <f>IF($E$7="Semana 1",'Semana 1'!O42,IF($E$7="Semana 2",'Semana 2'!O42,IF($E$7="Semana 3",'Semana 3'!O42,IF($E$7="Semana 4",'Semana 4'!O42,FALSE))))</f>
        <v> - </v>
      </c>
      <c r="AK43" s="55" t="str">
        <f>IF($E$7="Semana 1",'Semana 1'!P42,IF($E$7="Semana 2",'Semana 2'!P42,IF($E$7="Semana 3",'Semana 3'!P42,IF($E$7="Semana 4",'Semana 4'!P42,FALSE))))</f>
        <v>-1.0</v>
      </c>
      <c r="AL43" s="54" t="str">
        <f>IF($E$7="Semana 1",'Semana 1'!Q42,IF($E$7="Semana 2",'Semana 2'!Q42,IF($E$7="Semana 3",'Semana 3'!Q42,IF($E$7="Semana 4",'Semana 4'!Q42,FALSE))))</f>
        <v/>
      </c>
      <c r="AM43" s="54" t="str">
        <f>IF($E$7="Semana 1",'Semana 1'!R42,IF($E$7="Semana 2",'Semana 2'!R42,IF($E$7="Semana 3",'Semana 3'!R42,IF($E$7="Semana 4",'Semana 4'!R42,FALSE))))</f>
        <v/>
      </c>
      <c r="AN43" s="56" t="str">
        <f>IF($E$7="Semana 1",'Semana 1'!S42,IF($E$7="Semana 2",'Semana 2'!S42,IF($E$7="Semana 3",'Semana 3'!S42,IF($E$7="Semana 4",'Semana 4'!S42,FALSE))))</f>
        <v/>
      </c>
      <c r="AO43" s="56" t="str">
        <f>IF($E$7="Semana 1",'Semana 1'!T42,IF($E$7="Semana 2",'Semana 2'!T42,IF($E$7="Semana 3",'Semana 3'!T42,IF($E$7="Semana 4",'Semana 4'!T42,FALSE))))</f>
        <v/>
      </c>
      <c r="AP43" s="54" t="str">
        <f>IF($E$7="Semana 1",'Semana 1'!U42,IF($E$7="Semana 2",'Semana 2'!U42,IF($E$7="Semana 3",'Semana 3'!U42,IF($E$7="Semana 4",'Semana 4'!U42,FALSE))))</f>
        <v/>
      </c>
      <c r="AQ43" s="54" t="str">
        <f>IF($E$7="Semana 1",'Semana 1'!V42,IF($E$7="Semana 2",'Semana 2'!V42,IF($E$7="Semana 3",'Semana 3'!V42,IF($E$7="Semana 4",'Semana 4'!V42,FALSE))))</f>
        <v/>
      </c>
      <c r="AR43" s="56" t="str">
        <f>IF($E$7="Semana 1",'Semana 1'!W42,IF($E$7="Semana 2",'Semana 2'!W42,IF($E$7="Semana 3",'Semana 3'!W42,IF($E$7="Semana 4",'Semana 4'!W42,FALSE))))</f>
        <v/>
      </c>
      <c r="AS43" s="56" t="str">
        <f>IF($E$7="Semana 1",'Semana 1'!X42,IF($E$7="Semana 2",'Semana 2'!X42,IF($E$7="Semana 3",'Semana 3'!X42,IF($E$7="Semana 4",'Semana 4'!X42,FALSE))))</f>
        <v/>
      </c>
      <c r="AT43" s="55" t="str">
        <f>IF($E$7="Semana 1",'Semana 1'!Y42,IF($E$7="Semana 2",'Semana 2'!Y42,IF($E$7="Semana 3",'Semana 3'!Y42,IF($E$7="Semana 4",'Semana 4'!Y42,FALSE))))</f>
        <v>0.0</v>
      </c>
      <c r="AU43" s="55" t="str">
        <f>IF($E$7="Semana 1",'Semana 1'!Z42,IF($E$7="Semana 2",'Semana 2'!Z42,IF($E$7="Semana 3",'Semana 3'!Z42,IF($E$7="Semana 4",'Semana 4'!Z42,FALSE))))</f>
        <v>-1.0</v>
      </c>
      <c r="AV43" s="55" t="str">
        <f>IF($E$7="Semana 1",'Semana 1'!AA42,IF($E$7="Semana 2",'Semana 2'!AA42,IF($E$7="Semana 3",'Semana 3'!AA42,IF($E$7="Semana 4",'Semana 4'!AA42,FALSE))))</f>
        <v>-1.0</v>
      </c>
      <c r="AW43" s="55" t="str">
        <f>IF($E$7="Semana 1",'Semana 1'!AB42,IF($E$7="Semana 2",'Semana 2'!AB42,IF($E$7="Semana 3",'Semana 3'!AB42,IF($E$7="Semana 4",'Semana 4'!AB42,FALSE))))</f>
        <v>-1.0</v>
      </c>
      <c r="AX43" s="55" t="str">
        <f>IF($E$7="Semana 1",'Semana 1'!AC42,IF($E$7="Semana 2",'Semana 2'!AC42,IF($E$7="Semana 3",'Semana 3'!AC42,IF($E$7="Semana 4",'Semana 4'!AC42,FALSE))))</f>
        <v>-1.0</v>
      </c>
      <c r="AY43" s="55" t="str">
        <f>IF($E$7="Semana 1",'Semana 1'!AD42,IF($E$7="Semana 2",'Semana 2'!AD42,IF($E$7="Semana 3",'Semana 3'!AD42,IF($E$7="Semana 4",'Semana 4'!AD42,FALSE))))</f>
        <v>-5.0</v>
      </c>
    </row>
    <row r="44" ht="15.75" customHeight="1">
      <c r="N44" s="183"/>
      <c r="Y44" s="179" t="str">
        <f t="shared" si="1"/>
        <v>38</v>
      </c>
      <c r="Z44" s="180" t="str">
        <f>IF($E$7="Semana 1",'Semana 1'!E43,IF($E$7="Semana 2",'Semana 2'!E43,IF($E$7="Semana 3",'Semana 3'!E43,IF($E$7="Semana 4",'Semana 4'!E43,FALSE))))</f>
        <v>Laura Lucia Rabanales Oliva</v>
      </c>
      <c r="AA44" s="180" t="str">
        <f>IF($E$7="Semana 1",'Semana 1'!F43,IF($E$7="Semana 2",'Semana 2'!F43,IF($E$7="Semana 3",'Semana 3'!F43,IF($E$7="Semana 4",'Semana 4'!F43,FALSE))))</f>
        <v>Semana 1</v>
      </c>
      <c r="AB44" s="180" t="str">
        <f>IF($E$7="Semana 1",'Semana 1'!G43,IF($E$7="Semana 2",'Semana 2'!G43,IF($E$7="Semana 3",'Semana 3'!G43,IF($E$7="Semana 4",'Semana 4'!G43,FALSE))))</f>
        <v>AGENTE RM</v>
      </c>
      <c r="AC44" s="51" t="str">
        <f>IF($E$7="Semana 1",'Semana 1'!H43,IF($E$7="Semana 2",'Semana 2'!H43,IF($E$7="Semana 3",'Semana 3'!H43,IF($E$7="Semana 4",'Semana 4'!H43,FALSE))))</f>
        <v>6:30</v>
      </c>
      <c r="AD44" s="51" t="str">
        <f>IF($E$7="Semana 1",'Semana 1'!I43,IF($E$7="Semana 2",'Semana 2'!I43,IF($E$7="Semana 3",'Semana 3'!I43,IF($E$7="Semana 4",'Semana 4'!I43,FALSE))))</f>
        <v>15:30</v>
      </c>
      <c r="AE44" s="51" t="str">
        <f>IF($E$7="Semana 1",'Semana 1'!J43,IF($E$7="Semana 2",'Semana 2'!J43,IF($E$7="Semana 3",'Semana 3'!J43,IF($E$7="Semana 4",'Semana 4'!J43,FALSE))))</f>
        <v>12:00</v>
      </c>
      <c r="AF44" s="51" t="str">
        <f>IF($E$7="Semana 1",'Semana 1'!K43,IF($E$7="Semana 2",'Semana 2'!K43,IF($E$7="Semana 3",'Semana 3'!K43,IF($E$7="Semana 4",'Semana 4'!K43,FALSE))))</f>
        <v>13:00</v>
      </c>
      <c r="AG44" s="51" t="str">
        <f>IF($E$7="Semana 1",'Semana 1'!L43,IF($E$7="Semana 2",'Semana 2'!L43,IF($E$7="Semana 3",'Semana 3'!L43,IF($E$7="Semana 4",'Semana 4'!L43,FALSE))))</f>
        <v>8:40</v>
      </c>
      <c r="AH44" s="51" t="str">
        <f>IF($E$7="Semana 1",'Semana 1'!M43,IF($E$7="Semana 2",'Semana 2'!M43,IF($E$7="Semana 3",'Semana 3'!M43,IF($E$7="Semana 4",'Semana 4'!M43,FALSE))))</f>
        <v>9:00</v>
      </c>
      <c r="AI44" s="51" t="str">
        <f>IF($E$7="Semana 1",'Semana 1'!N43,IF($E$7="Semana 2",'Semana 2'!N43,IF($E$7="Semana 3",'Semana 3'!N43,IF($E$7="Semana 4",'Semana 4'!N43,FALSE))))</f>
        <v>14:00</v>
      </c>
      <c r="AJ44" s="51" t="str">
        <f>IF($E$7="Semana 1",'Semana 1'!O43,IF($E$7="Semana 2",'Semana 2'!O43,IF($E$7="Semana 3",'Semana 3'!O43,IF($E$7="Semana 4",'Semana 4'!O43,FALSE))))</f>
        <v>14:10</v>
      </c>
      <c r="AK44" s="52" t="str">
        <f>IF($E$7="Semana 1",'Semana 1'!P43,IF($E$7="Semana 2",'Semana 2'!P43,IF($E$7="Semana 3",'Semana 3'!P43,IF($E$7="Semana 4",'Semana 4'!P43,FALSE))))</f>
        <v>8.0</v>
      </c>
      <c r="AL44" s="51" t="str">
        <f>IF($E$7="Semana 1",'Semana 1'!Q43,IF($E$7="Semana 2",'Semana 2'!Q43,IF($E$7="Semana 3",'Semana 3'!Q43,IF($E$7="Semana 4",'Semana 4'!Q43,FALSE))))</f>
        <v>6:30</v>
      </c>
      <c r="AM44" s="51" t="str">
        <f>IF($E$7="Semana 1",'Semana 1'!R43,IF($E$7="Semana 2",'Semana 2'!R43,IF($E$7="Semana 3",'Semana 3'!R43,IF($E$7="Semana 4",'Semana 4'!R43,FALSE))))</f>
        <v>11:30</v>
      </c>
      <c r="AN44" s="53" t="str">
        <f>IF($E$7="Semana 1",'Semana 1'!S43,IF($E$7="Semana 2",'Semana 2'!S43,IF($E$7="Semana 3",'Semana 3'!S43,IF($E$7="Semana 4",'Semana 4'!S43,FALSE))))</f>
        <v/>
      </c>
      <c r="AO44" s="53" t="str">
        <f>IF($E$7="Semana 1",'Semana 1'!T43,IF($E$7="Semana 2",'Semana 2'!T43,IF($E$7="Semana 3",'Semana 3'!T43,IF($E$7="Semana 4",'Semana 4'!T43,FALSE))))</f>
        <v/>
      </c>
      <c r="AP44" s="51" t="str">
        <f>IF($E$7="Semana 1",'Semana 1'!U43,IF($E$7="Semana 2",'Semana 2'!U43,IF($E$7="Semana 3",'Semana 3'!U43,IF($E$7="Semana 4",'Semana 4'!U43,FALSE))))</f>
        <v>8:00</v>
      </c>
      <c r="AQ44" s="51" t="str">
        <f>IF($E$7="Semana 1",'Semana 1'!V43,IF($E$7="Semana 2",'Semana 2'!V43,IF($E$7="Semana 3",'Semana 3'!V43,IF($E$7="Semana 4",'Semana 4'!V43,FALSE))))</f>
        <v>8:30</v>
      </c>
      <c r="AR44" s="53" t="str">
        <f>IF($E$7="Semana 1",'Semana 1'!W43,IF($E$7="Semana 2",'Semana 2'!W43,IF($E$7="Semana 3",'Semana 3'!W43,IF($E$7="Semana 4",'Semana 4'!W43,FALSE))))</f>
        <v/>
      </c>
      <c r="AS44" s="53" t="str">
        <f>IF($E$7="Semana 1",'Semana 1'!X43,IF($E$7="Semana 2",'Semana 2'!X43,IF($E$7="Semana 3",'Semana 3'!X43,IF($E$7="Semana 4",'Semana 4'!X43,FALSE))))</f>
        <v/>
      </c>
      <c r="AT44" s="52" t="str">
        <f>IF($E$7="Semana 1",'Semana 1'!Y43,IF($E$7="Semana 2",'Semana 2'!Y43,IF($E$7="Semana 3",'Semana 3'!Y43,IF($E$7="Semana 4",'Semana 4'!Y43,FALSE))))</f>
        <v>5.0</v>
      </c>
      <c r="AU44" s="52" t="str">
        <f>IF($E$7="Semana 1",'Semana 1'!Z43,IF($E$7="Semana 2",'Semana 2'!Z43,IF($E$7="Semana 3",'Semana 3'!Z43,IF($E$7="Semana 4",'Semana 4'!Z43,FALSE))))</f>
        <v>8.0</v>
      </c>
      <c r="AV44" s="52" t="str">
        <f>IF($E$7="Semana 1",'Semana 1'!AA43,IF($E$7="Semana 2",'Semana 2'!AA43,IF($E$7="Semana 3",'Semana 3'!AA43,IF($E$7="Semana 4",'Semana 4'!AA43,FALSE))))</f>
        <v>8.0</v>
      </c>
      <c r="AW44" s="52" t="str">
        <f>IF($E$7="Semana 1",'Semana 1'!AB43,IF($E$7="Semana 2",'Semana 2'!AB43,IF($E$7="Semana 3",'Semana 3'!AB43,IF($E$7="Semana 4",'Semana 4'!AB43,FALSE))))</f>
        <v>8.0</v>
      </c>
      <c r="AX44" s="52" t="str">
        <f>IF($E$7="Semana 1",'Semana 1'!AC43,IF($E$7="Semana 2",'Semana 2'!AC43,IF($E$7="Semana 3",'Semana 3'!AC43,IF($E$7="Semana 4",'Semana 4'!AC43,FALSE))))</f>
        <v>8.0</v>
      </c>
      <c r="AY44" s="52" t="str">
        <f>IF($E$7="Semana 1",'Semana 1'!AD43,IF($E$7="Semana 2",'Semana 2'!AD43,IF($E$7="Semana 3",'Semana 3'!AD43,IF($E$7="Semana 4",'Semana 4'!AD43,FALSE))))</f>
        <v>45.1</v>
      </c>
    </row>
    <row r="45" ht="15.75" customHeight="1">
      <c r="N45" s="183"/>
      <c r="Y45" s="18" t="str">
        <f t="shared" si="1"/>
        <v>39</v>
      </c>
      <c r="Z45" s="19" t="str">
        <f>IF($E$7="Semana 1",'Semana 1'!E44,IF($E$7="Semana 2",'Semana 2'!E44,IF($E$7="Semana 3",'Semana 3'!E44,IF($E$7="Semana 4",'Semana 4'!E44,FALSE))))</f>
        <v>Lilian Josefina Ramirez Estrada</v>
      </c>
      <c r="AA45" s="19" t="str">
        <f>IF($E$7="Semana 1",'Semana 1'!F44,IF($E$7="Semana 2",'Semana 2'!F44,IF($E$7="Semana 3",'Semana 3'!F44,IF($E$7="Semana 4",'Semana 4'!F44,FALSE))))</f>
        <v>Semana 1</v>
      </c>
      <c r="AB45" s="19" t="str">
        <f>IF($E$7="Semana 1",'Semana 1'!G44,IF($E$7="Semana 2",'Semana 2'!G44,IF($E$7="Semana 3",'Semana 3'!G44,IF($E$7="Semana 4",'Semana 4'!G44,FALSE))))</f>
        <v>SUPERVISORA</v>
      </c>
      <c r="AC45" s="54" t="str">
        <f>IF($E$7="Semana 1",'Semana 1'!H44,IF($E$7="Semana 2",'Semana 2'!H44,IF($E$7="Semana 3",'Semana 3'!H44,IF($E$7="Semana 4",'Semana 4'!H44,FALSE))))</f>
        <v/>
      </c>
      <c r="AD45" s="54" t="str">
        <f>IF($E$7="Semana 1",'Semana 1'!I44,IF($E$7="Semana 2",'Semana 2'!I44,IF($E$7="Semana 3",'Semana 3'!I44,IF($E$7="Semana 4",'Semana 4'!I44,FALSE))))</f>
        <v> </v>
      </c>
      <c r="AE45" s="54" t="str">
        <f>IF($E$7="Semana 1",'Semana 1'!J44,IF($E$7="Semana 2",'Semana 2'!J44,IF($E$7="Semana 3",'Semana 3'!J44,IF($E$7="Semana 4",'Semana 4'!J44,FALSE))))</f>
        <v/>
      </c>
      <c r="AF45" s="54" t="str">
        <f>IF($E$7="Semana 1",'Semana 1'!K44,IF($E$7="Semana 2",'Semana 2'!K44,IF($E$7="Semana 3",'Semana 3'!K44,IF($E$7="Semana 4",'Semana 4'!K44,FALSE))))</f>
        <v> - </v>
      </c>
      <c r="AG45" s="54" t="str">
        <f>IF($E$7="Semana 1",'Semana 1'!L44,IF($E$7="Semana 2",'Semana 2'!L44,IF($E$7="Semana 3",'Semana 3'!L44,IF($E$7="Semana 4",'Semana 4'!L44,FALSE))))</f>
        <v/>
      </c>
      <c r="AH45" s="54" t="str">
        <f>IF($E$7="Semana 1",'Semana 1'!M44,IF($E$7="Semana 2",'Semana 2'!M44,IF($E$7="Semana 3",'Semana 3'!M44,IF($E$7="Semana 4",'Semana 4'!M44,FALSE))))</f>
        <v> - </v>
      </c>
      <c r="AI45" s="54" t="str">
        <f>IF($E$7="Semana 1",'Semana 1'!N44,IF($E$7="Semana 2",'Semana 2'!N44,IF($E$7="Semana 3",'Semana 3'!N44,IF($E$7="Semana 4",'Semana 4'!N44,FALSE))))</f>
        <v/>
      </c>
      <c r="AJ45" s="54" t="str">
        <f>IF($E$7="Semana 1",'Semana 1'!O44,IF($E$7="Semana 2",'Semana 2'!O44,IF($E$7="Semana 3",'Semana 3'!O44,IF($E$7="Semana 4",'Semana 4'!O44,FALSE))))</f>
        <v> - </v>
      </c>
      <c r="AK45" s="55" t="str">
        <f>IF($E$7="Semana 1",'Semana 1'!P44,IF($E$7="Semana 2",'Semana 2'!P44,IF($E$7="Semana 3",'Semana 3'!P44,IF($E$7="Semana 4",'Semana 4'!P44,FALSE))))</f>
        <v>-1.0</v>
      </c>
      <c r="AL45" s="54" t="str">
        <f>IF($E$7="Semana 1",'Semana 1'!Q44,IF($E$7="Semana 2",'Semana 2'!Q44,IF($E$7="Semana 3",'Semana 3'!Q44,IF($E$7="Semana 4",'Semana 4'!Q44,FALSE))))</f>
        <v/>
      </c>
      <c r="AM45" s="54" t="str">
        <f>IF($E$7="Semana 1",'Semana 1'!R44,IF($E$7="Semana 2",'Semana 2'!R44,IF($E$7="Semana 3",'Semana 3'!R44,IF($E$7="Semana 4",'Semana 4'!R44,FALSE))))</f>
        <v/>
      </c>
      <c r="AN45" s="54" t="str">
        <f>IF($E$7="Semana 1",'Semana 1'!S44,IF($E$7="Semana 2",'Semana 2'!S44,IF($E$7="Semana 3",'Semana 3'!S44,IF($E$7="Semana 4",'Semana 4'!S44,FALSE))))</f>
        <v/>
      </c>
      <c r="AO45" s="54" t="str">
        <f>IF($E$7="Semana 1",'Semana 1'!T44,IF($E$7="Semana 2",'Semana 2'!T44,IF($E$7="Semana 3",'Semana 3'!T44,IF($E$7="Semana 4",'Semana 4'!T44,FALSE))))</f>
        <v/>
      </c>
      <c r="AP45" s="54" t="str">
        <f>IF($E$7="Semana 1",'Semana 1'!U44,IF($E$7="Semana 2",'Semana 2'!U44,IF($E$7="Semana 3",'Semana 3'!U44,IF($E$7="Semana 4",'Semana 4'!U44,FALSE))))</f>
        <v/>
      </c>
      <c r="AQ45" s="54" t="str">
        <f>IF($E$7="Semana 1",'Semana 1'!V44,IF($E$7="Semana 2",'Semana 2'!V44,IF($E$7="Semana 3",'Semana 3'!V44,IF($E$7="Semana 4",'Semana 4'!V44,FALSE))))</f>
        <v/>
      </c>
      <c r="AR45" s="54" t="str">
        <f>IF($E$7="Semana 1",'Semana 1'!W44,IF($E$7="Semana 2",'Semana 2'!W44,IF($E$7="Semana 3",'Semana 3'!W44,IF($E$7="Semana 4",'Semana 4'!W44,FALSE))))</f>
        <v/>
      </c>
      <c r="AS45" s="54" t="str">
        <f>IF($E$7="Semana 1",'Semana 1'!X44,IF($E$7="Semana 2",'Semana 2'!X44,IF($E$7="Semana 3",'Semana 3'!X44,IF($E$7="Semana 4",'Semana 4'!X44,FALSE))))</f>
        <v/>
      </c>
      <c r="AT45" s="55" t="str">
        <f>IF($E$7="Semana 1",'Semana 1'!Y44,IF($E$7="Semana 2",'Semana 2'!Y44,IF($E$7="Semana 3",'Semana 3'!Y44,IF($E$7="Semana 4",'Semana 4'!Y44,FALSE))))</f>
        <v>0.0</v>
      </c>
      <c r="AU45" s="55" t="str">
        <f>IF($E$7="Semana 1",'Semana 1'!Z44,IF($E$7="Semana 2",'Semana 2'!Z44,IF($E$7="Semana 3",'Semana 3'!Z44,IF($E$7="Semana 4",'Semana 4'!Z44,FALSE))))</f>
        <v>-1.0</v>
      </c>
      <c r="AV45" s="55" t="str">
        <f>IF($E$7="Semana 1",'Semana 1'!AA44,IF($E$7="Semana 2",'Semana 2'!AA44,IF($E$7="Semana 3",'Semana 3'!AA44,IF($E$7="Semana 4",'Semana 4'!AA44,FALSE))))</f>
        <v>-1.0</v>
      </c>
      <c r="AW45" s="55" t="str">
        <f>IF($E$7="Semana 1",'Semana 1'!AB44,IF($E$7="Semana 2",'Semana 2'!AB44,IF($E$7="Semana 3",'Semana 3'!AB44,IF($E$7="Semana 4",'Semana 4'!AB44,FALSE))))</f>
        <v>-1.0</v>
      </c>
      <c r="AX45" s="55" t="str">
        <f>IF($E$7="Semana 1",'Semana 1'!AC44,IF($E$7="Semana 2",'Semana 2'!AC44,IF($E$7="Semana 3",'Semana 3'!AC44,IF($E$7="Semana 4",'Semana 4'!AC44,FALSE))))</f>
        <v>-1.0</v>
      </c>
      <c r="AY45" s="55" t="str">
        <f>IF($E$7="Semana 1",'Semana 1'!AD44,IF($E$7="Semana 2",'Semana 2'!AD44,IF($E$7="Semana 3",'Semana 3'!AD44,IF($E$7="Semana 4",'Semana 4'!AD44,FALSE))))</f>
        <v>-5.0</v>
      </c>
    </row>
    <row r="46" ht="15.75" customHeight="1">
      <c r="N46" s="183"/>
      <c r="Y46" s="179" t="str">
        <f t="shared" si="1"/>
        <v>40</v>
      </c>
      <c r="Z46" s="180" t="str">
        <f>IF($E$7="Semana 1",'Semana 1'!E45,IF($E$7="Semana 2",'Semana 2'!E45,IF($E$7="Semana 3",'Semana 3'!E45,IF($E$7="Semana 4",'Semana 4'!E45,FALSE))))</f>
        <v>Wilson Saúl Gómez Mendoza</v>
      </c>
      <c r="AA46" s="180" t="str">
        <f>IF($E$7="Semana 1",'Semana 1'!F45,IF($E$7="Semana 2",'Semana 2'!F45,IF($E$7="Semana 3",'Semana 3'!F45,IF($E$7="Semana 4",'Semana 4'!F45,FALSE))))</f>
        <v>Semana 1</v>
      </c>
      <c r="AB46" s="180" t="str">
        <f>IF($E$7="Semana 1",'Semana 1'!G45,IF($E$7="Semana 2",'Semana 2'!G45,IF($E$7="Semana 3",'Semana 3'!G45,IF($E$7="Semana 4",'Semana 4'!G45,FALSE))))</f>
        <v>CONTROL</v>
      </c>
      <c r="AC46" s="51" t="str">
        <f>IF($E$7="Semana 1",'Semana 1'!H45,IF($E$7="Semana 2",'Semana 2'!H45,IF($E$7="Semana 3",'Semana 3'!H45,IF($E$7="Semana 4",'Semana 4'!H45,FALSE))))</f>
        <v/>
      </c>
      <c r="AD46" s="51" t="str">
        <f>IF($E$7="Semana 1",'Semana 1'!I45,IF($E$7="Semana 2",'Semana 2'!I45,IF($E$7="Semana 3",'Semana 3'!I45,IF($E$7="Semana 4",'Semana 4'!I45,FALSE))))</f>
        <v> </v>
      </c>
      <c r="AE46" s="51" t="str">
        <f>IF($E$7="Semana 1",'Semana 1'!J45,IF($E$7="Semana 2",'Semana 2'!J45,IF($E$7="Semana 3",'Semana 3'!J45,IF($E$7="Semana 4",'Semana 4'!J45,FALSE))))</f>
        <v/>
      </c>
      <c r="AF46" s="51" t="str">
        <f>IF($E$7="Semana 1",'Semana 1'!K45,IF($E$7="Semana 2",'Semana 2'!K45,IF($E$7="Semana 3",'Semana 3'!K45,IF($E$7="Semana 4",'Semana 4'!K45,FALSE))))</f>
        <v> - </v>
      </c>
      <c r="AG46" s="51" t="str">
        <f>IF($E$7="Semana 1",'Semana 1'!L45,IF($E$7="Semana 2",'Semana 2'!L45,IF($E$7="Semana 3",'Semana 3'!L45,IF($E$7="Semana 4",'Semana 4'!L45,FALSE))))</f>
        <v/>
      </c>
      <c r="AH46" s="51" t="str">
        <f>IF($E$7="Semana 1",'Semana 1'!M45,IF($E$7="Semana 2",'Semana 2'!M45,IF($E$7="Semana 3",'Semana 3'!M45,IF($E$7="Semana 4",'Semana 4'!M45,FALSE))))</f>
        <v> - </v>
      </c>
      <c r="AI46" s="51" t="str">
        <f>IF($E$7="Semana 1",'Semana 1'!N45,IF($E$7="Semana 2",'Semana 2'!N45,IF($E$7="Semana 3",'Semana 3'!N45,IF($E$7="Semana 4",'Semana 4'!N45,FALSE))))</f>
        <v/>
      </c>
      <c r="AJ46" s="51" t="str">
        <f>IF($E$7="Semana 1",'Semana 1'!O45,IF($E$7="Semana 2",'Semana 2'!O45,IF($E$7="Semana 3",'Semana 3'!O45,IF($E$7="Semana 4",'Semana 4'!O45,FALSE))))</f>
        <v> - </v>
      </c>
      <c r="AK46" s="52" t="str">
        <f>IF($E$7="Semana 1",'Semana 1'!P45,IF($E$7="Semana 2",'Semana 2'!P45,IF($E$7="Semana 3",'Semana 3'!P45,IF($E$7="Semana 4",'Semana 4'!P45,FALSE))))</f>
        <v>-1.0</v>
      </c>
      <c r="AL46" s="51" t="str">
        <f>IF($E$7="Semana 1",'Semana 1'!Q45,IF($E$7="Semana 2",'Semana 2'!Q45,IF($E$7="Semana 3",'Semana 3'!Q45,IF($E$7="Semana 4",'Semana 4'!Q45,FALSE))))</f>
        <v/>
      </c>
      <c r="AM46" s="51" t="str">
        <f>IF($E$7="Semana 1",'Semana 1'!R45,IF($E$7="Semana 2",'Semana 2'!R45,IF($E$7="Semana 3",'Semana 3'!R45,IF($E$7="Semana 4",'Semana 4'!R45,FALSE))))</f>
        <v/>
      </c>
      <c r="AN46" s="53" t="str">
        <f>IF($E$7="Semana 1",'Semana 1'!S45,IF($E$7="Semana 2",'Semana 2'!S45,IF($E$7="Semana 3",'Semana 3'!S45,IF($E$7="Semana 4",'Semana 4'!S45,FALSE))))</f>
        <v/>
      </c>
      <c r="AO46" s="53" t="str">
        <f>IF($E$7="Semana 1",'Semana 1'!T45,IF($E$7="Semana 2",'Semana 2'!T45,IF($E$7="Semana 3",'Semana 3'!T45,IF($E$7="Semana 4",'Semana 4'!T45,FALSE))))</f>
        <v/>
      </c>
      <c r="AP46" s="51" t="str">
        <f>IF($E$7="Semana 1",'Semana 1'!U45,IF($E$7="Semana 2",'Semana 2'!U45,IF($E$7="Semana 3",'Semana 3'!U45,IF($E$7="Semana 4",'Semana 4'!U45,FALSE))))</f>
        <v/>
      </c>
      <c r="AQ46" s="51" t="str">
        <f>IF($E$7="Semana 1",'Semana 1'!V45,IF($E$7="Semana 2",'Semana 2'!V45,IF($E$7="Semana 3",'Semana 3'!V45,IF($E$7="Semana 4",'Semana 4'!V45,FALSE))))</f>
        <v/>
      </c>
      <c r="AR46" s="53" t="str">
        <f>IF($E$7="Semana 1",'Semana 1'!W45,IF($E$7="Semana 2",'Semana 2'!W45,IF($E$7="Semana 3",'Semana 3'!W45,IF($E$7="Semana 4",'Semana 4'!W45,FALSE))))</f>
        <v/>
      </c>
      <c r="AS46" s="53" t="str">
        <f>IF($E$7="Semana 1",'Semana 1'!X45,IF($E$7="Semana 2",'Semana 2'!X45,IF($E$7="Semana 3",'Semana 3'!X45,IF($E$7="Semana 4",'Semana 4'!X45,FALSE))))</f>
        <v/>
      </c>
      <c r="AT46" s="52" t="str">
        <f>IF($E$7="Semana 1",'Semana 1'!Y45,IF($E$7="Semana 2",'Semana 2'!Y45,IF($E$7="Semana 3",'Semana 3'!Y45,IF($E$7="Semana 4",'Semana 4'!Y45,FALSE))))</f>
        <v>0.0</v>
      </c>
      <c r="AU46" s="52" t="str">
        <f>IF($E$7="Semana 1",'Semana 1'!Z45,IF($E$7="Semana 2",'Semana 2'!Z45,IF($E$7="Semana 3",'Semana 3'!Z45,IF($E$7="Semana 4",'Semana 4'!Z45,FALSE))))</f>
        <v>-1.0</v>
      </c>
      <c r="AV46" s="52" t="str">
        <f>IF($E$7="Semana 1",'Semana 1'!AA45,IF($E$7="Semana 2",'Semana 2'!AA45,IF($E$7="Semana 3",'Semana 3'!AA45,IF($E$7="Semana 4",'Semana 4'!AA45,FALSE))))</f>
        <v>-1.0</v>
      </c>
      <c r="AW46" s="52" t="str">
        <f>IF($E$7="Semana 1",'Semana 1'!AB45,IF($E$7="Semana 2",'Semana 2'!AB45,IF($E$7="Semana 3",'Semana 3'!AB45,IF($E$7="Semana 4",'Semana 4'!AB45,FALSE))))</f>
        <v>-1.0</v>
      </c>
      <c r="AX46" s="52" t="str">
        <f>IF($E$7="Semana 1",'Semana 1'!AC45,IF($E$7="Semana 2",'Semana 2'!AC45,IF($E$7="Semana 3",'Semana 3'!AC45,IF($E$7="Semana 4",'Semana 4'!AC45,FALSE))))</f>
        <v>-1.0</v>
      </c>
      <c r="AY46" s="52" t="str">
        <f>IF($E$7="Semana 1",'Semana 1'!AD45,IF($E$7="Semana 2",'Semana 2'!AD45,IF($E$7="Semana 3",'Semana 3'!AD45,IF($E$7="Semana 4",'Semana 4'!AD45,FALSE))))</f>
        <v>-5.0</v>
      </c>
    </row>
    <row r="47" ht="15.75" customHeight="1">
      <c r="N47" s="183"/>
      <c r="Y47" s="18" t="str">
        <f t="shared" si="1"/>
        <v>41</v>
      </c>
      <c r="Z47" s="19" t="str">
        <f>IF($E$7="Semana 1",'Semana 1'!E46,IF($E$7="Semana 2",'Semana 2'!E46,IF($E$7="Semana 3",'Semana 3'!E46,IF($E$7="Semana 4",'Semana 4'!E46,FALSE))))</f>
        <v>Carmen Yanira Brán Oliva</v>
      </c>
      <c r="AA47" s="19" t="str">
        <f>IF($E$7="Semana 1",'Semana 1'!F46,IF($E$7="Semana 2",'Semana 2'!F46,IF($E$7="Semana 3",'Semana 3'!F46,IF($E$7="Semana 4",'Semana 4'!F46,FALSE))))</f>
        <v>Semana 1</v>
      </c>
      <c r="AB47" s="19" t="str">
        <f>IF($E$7="Semana 1",'Semana 1'!G46,IF($E$7="Semana 2",'Semana 2'!G46,IF($E$7="Semana 3",'Semana 3'!G46,IF($E$7="Semana 4",'Semana 4'!G46,FALSE))))</f>
        <v>CAPACITACION</v>
      </c>
      <c r="AC47" s="54" t="str">
        <f>IF($E$7="Semana 1",'Semana 1'!H46,IF($E$7="Semana 2",'Semana 2'!H46,IF($E$7="Semana 3",'Semana 3'!H46,IF($E$7="Semana 4",'Semana 4'!H46,FALSE))))</f>
        <v/>
      </c>
      <c r="AD47" s="54" t="str">
        <f>IF($E$7="Semana 1",'Semana 1'!I46,IF($E$7="Semana 2",'Semana 2'!I46,IF($E$7="Semana 3",'Semana 3'!I46,IF($E$7="Semana 4",'Semana 4'!I46,FALSE))))</f>
        <v> </v>
      </c>
      <c r="AE47" s="54" t="str">
        <f>IF($E$7="Semana 1",'Semana 1'!J46,IF($E$7="Semana 2",'Semana 2'!J46,IF($E$7="Semana 3",'Semana 3'!J46,IF($E$7="Semana 4",'Semana 4'!J46,FALSE))))</f>
        <v/>
      </c>
      <c r="AF47" s="54" t="str">
        <f>IF($E$7="Semana 1",'Semana 1'!K46,IF($E$7="Semana 2",'Semana 2'!K46,IF($E$7="Semana 3",'Semana 3'!K46,IF($E$7="Semana 4",'Semana 4'!K46,FALSE))))</f>
        <v> - </v>
      </c>
      <c r="AG47" s="54" t="str">
        <f>IF($E$7="Semana 1",'Semana 1'!L46,IF($E$7="Semana 2",'Semana 2'!L46,IF($E$7="Semana 3",'Semana 3'!L46,IF($E$7="Semana 4",'Semana 4'!L46,FALSE))))</f>
        <v/>
      </c>
      <c r="AH47" s="54" t="str">
        <f>IF($E$7="Semana 1",'Semana 1'!M46,IF($E$7="Semana 2",'Semana 2'!M46,IF($E$7="Semana 3",'Semana 3'!M46,IF($E$7="Semana 4",'Semana 4'!M46,FALSE))))</f>
        <v> - </v>
      </c>
      <c r="AI47" s="54" t="str">
        <f>IF($E$7="Semana 1",'Semana 1'!N46,IF($E$7="Semana 2",'Semana 2'!N46,IF($E$7="Semana 3",'Semana 3'!N46,IF($E$7="Semana 4",'Semana 4'!N46,FALSE))))</f>
        <v/>
      </c>
      <c r="AJ47" s="54" t="str">
        <f>IF($E$7="Semana 1",'Semana 1'!O46,IF($E$7="Semana 2",'Semana 2'!O46,IF($E$7="Semana 3",'Semana 3'!O46,IF($E$7="Semana 4",'Semana 4'!O46,FALSE))))</f>
        <v> - </v>
      </c>
      <c r="AK47" s="55" t="str">
        <f>IF($E$7="Semana 1",'Semana 1'!P46,IF($E$7="Semana 2",'Semana 2'!P46,IF($E$7="Semana 3",'Semana 3'!P46,IF($E$7="Semana 4",'Semana 4'!P46,FALSE))))</f>
        <v>-1.0</v>
      </c>
      <c r="AL47" s="54" t="str">
        <f>IF($E$7="Semana 1",'Semana 1'!Q46,IF($E$7="Semana 2",'Semana 2'!Q46,IF($E$7="Semana 3",'Semana 3'!Q46,IF($E$7="Semana 4",'Semana 4'!Q46,FALSE))))</f>
        <v/>
      </c>
      <c r="AM47" s="54" t="str">
        <f>IF($E$7="Semana 1",'Semana 1'!R46,IF($E$7="Semana 2",'Semana 2'!R46,IF($E$7="Semana 3",'Semana 3'!R46,IF($E$7="Semana 4",'Semana 4'!R46,FALSE))))</f>
        <v/>
      </c>
      <c r="AN47" s="56" t="str">
        <f>IF($E$7="Semana 1",'Semana 1'!S46,IF($E$7="Semana 2",'Semana 2'!S46,IF($E$7="Semana 3",'Semana 3'!S46,IF($E$7="Semana 4",'Semana 4'!S46,FALSE))))</f>
        <v/>
      </c>
      <c r="AO47" s="56" t="str">
        <f>IF($E$7="Semana 1",'Semana 1'!T46,IF($E$7="Semana 2",'Semana 2'!T46,IF($E$7="Semana 3",'Semana 3'!T46,IF($E$7="Semana 4",'Semana 4'!T46,FALSE))))</f>
        <v/>
      </c>
      <c r="AP47" s="54" t="str">
        <f>IF($E$7="Semana 1",'Semana 1'!U46,IF($E$7="Semana 2",'Semana 2'!U46,IF($E$7="Semana 3",'Semana 3'!U46,IF($E$7="Semana 4",'Semana 4'!U46,FALSE))))</f>
        <v/>
      </c>
      <c r="AQ47" s="54" t="str">
        <f>IF($E$7="Semana 1",'Semana 1'!V46,IF($E$7="Semana 2",'Semana 2'!V46,IF($E$7="Semana 3",'Semana 3'!V46,IF($E$7="Semana 4",'Semana 4'!V46,FALSE))))</f>
        <v/>
      </c>
      <c r="AR47" s="56" t="str">
        <f>IF($E$7="Semana 1",'Semana 1'!W46,IF($E$7="Semana 2",'Semana 2'!W46,IF($E$7="Semana 3",'Semana 3'!W46,IF($E$7="Semana 4",'Semana 4'!W46,FALSE))))</f>
        <v/>
      </c>
      <c r="AS47" s="56" t="str">
        <f>IF($E$7="Semana 1",'Semana 1'!X46,IF($E$7="Semana 2",'Semana 2'!X46,IF($E$7="Semana 3",'Semana 3'!X46,IF($E$7="Semana 4",'Semana 4'!X46,FALSE))))</f>
        <v/>
      </c>
      <c r="AT47" s="55" t="str">
        <f>IF($E$7="Semana 1",'Semana 1'!Y46,IF($E$7="Semana 2",'Semana 2'!Y46,IF($E$7="Semana 3",'Semana 3'!Y46,IF($E$7="Semana 4",'Semana 4'!Y46,FALSE))))</f>
        <v>0.0</v>
      </c>
      <c r="AU47" s="55" t="str">
        <f>IF($E$7="Semana 1",'Semana 1'!Z46,IF($E$7="Semana 2",'Semana 2'!Z46,IF($E$7="Semana 3",'Semana 3'!Z46,IF($E$7="Semana 4",'Semana 4'!Z46,FALSE))))</f>
        <v>-1.0</v>
      </c>
      <c r="AV47" s="55" t="str">
        <f>IF($E$7="Semana 1",'Semana 1'!AA46,IF($E$7="Semana 2",'Semana 2'!AA46,IF($E$7="Semana 3",'Semana 3'!AA46,IF($E$7="Semana 4",'Semana 4'!AA46,FALSE))))</f>
        <v>-1.0</v>
      </c>
      <c r="AW47" s="55" t="str">
        <f>IF($E$7="Semana 1",'Semana 1'!AB46,IF($E$7="Semana 2",'Semana 2'!AB46,IF($E$7="Semana 3",'Semana 3'!AB46,IF($E$7="Semana 4",'Semana 4'!AB46,FALSE))))</f>
        <v>-1.0</v>
      </c>
      <c r="AX47" s="55" t="str">
        <f>IF($E$7="Semana 1",'Semana 1'!AC46,IF($E$7="Semana 2",'Semana 2'!AC46,IF($E$7="Semana 3",'Semana 3'!AC46,IF($E$7="Semana 4",'Semana 4'!AC46,FALSE))))</f>
        <v>-1.0</v>
      </c>
      <c r="AY47" s="55" t="str">
        <f>IF($E$7="Semana 1",'Semana 1'!AD46,IF($E$7="Semana 2",'Semana 2'!AD46,IF($E$7="Semana 3",'Semana 3'!AD46,IF($E$7="Semana 4",'Semana 4'!AD46,FALSE))))</f>
        <v>-5.0</v>
      </c>
    </row>
    <row r="48" ht="15.75" customHeight="1">
      <c r="N48" s="183"/>
      <c r="Y48" s="179" t="str">
        <f t="shared" si="1"/>
        <v>42</v>
      </c>
      <c r="Z48" s="180" t="str">
        <f>IF($E$7="Semana 1",'Semana 1'!E47,IF($E$7="Semana 2",'Semana 2'!E47,IF($E$7="Semana 3",'Semana 3'!E47,IF($E$7="Semana 4",'Semana 4'!E47,FALSE))))</f>
        <v>Katherine Nicole Colmenares Véliz</v>
      </c>
      <c r="AA48" s="180" t="str">
        <f>IF($E$7="Semana 1",'Semana 1'!F47,IF($E$7="Semana 2",'Semana 2'!F47,IF($E$7="Semana 3",'Semana 3'!F47,IF($E$7="Semana 4",'Semana 4'!F47,FALSE))))</f>
        <v>Semana 1</v>
      </c>
      <c r="AB48" s="180" t="str">
        <f>IF($E$7="Semana 1",'Semana 1'!G47,IF($E$7="Semana 2",'Semana 2'!G47,IF($E$7="Semana 3",'Semana 3'!G47,IF($E$7="Semana 4",'Semana 4'!G47,FALSE))))</f>
        <v>CONTROL</v>
      </c>
      <c r="AC48" s="51" t="str">
        <f>IF($E$7="Semana 1",'Semana 1'!H47,IF($E$7="Semana 2",'Semana 2'!H47,IF($E$7="Semana 3",'Semana 3'!H47,IF($E$7="Semana 4",'Semana 4'!H47,FALSE))))</f>
        <v/>
      </c>
      <c r="AD48" s="51" t="str">
        <f>IF($E$7="Semana 1",'Semana 1'!I47,IF($E$7="Semana 2",'Semana 2'!I47,IF($E$7="Semana 3",'Semana 3'!I47,IF($E$7="Semana 4",'Semana 4'!I47,FALSE))))</f>
        <v> </v>
      </c>
      <c r="AE48" s="51" t="str">
        <f>IF($E$7="Semana 1",'Semana 1'!J47,IF($E$7="Semana 2",'Semana 2'!J47,IF($E$7="Semana 3",'Semana 3'!J47,IF($E$7="Semana 4",'Semana 4'!J47,FALSE))))</f>
        <v/>
      </c>
      <c r="AF48" s="51" t="str">
        <f>IF($E$7="Semana 1",'Semana 1'!K47,IF($E$7="Semana 2",'Semana 2'!K47,IF($E$7="Semana 3",'Semana 3'!K47,IF($E$7="Semana 4",'Semana 4'!K47,FALSE))))</f>
        <v> - </v>
      </c>
      <c r="AG48" s="51" t="str">
        <f>IF($E$7="Semana 1",'Semana 1'!L47,IF($E$7="Semana 2",'Semana 2'!L47,IF($E$7="Semana 3",'Semana 3'!L47,IF($E$7="Semana 4",'Semana 4'!L47,FALSE))))</f>
        <v/>
      </c>
      <c r="AH48" s="51" t="str">
        <f>IF($E$7="Semana 1",'Semana 1'!M47,IF($E$7="Semana 2",'Semana 2'!M47,IF($E$7="Semana 3",'Semana 3'!M47,IF($E$7="Semana 4",'Semana 4'!M47,FALSE))))</f>
        <v> - </v>
      </c>
      <c r="AI48" s="51" t="str">
        <f>IF($E$7="Semana 1",'Semana 1'!N47,IF($E$7="Semana 2",'Semana 2'!N47,IF($E$7="Semana 3",'Semana 3'!N47,IF($E$7="Semana 4",'Semana 4'!N47,FALSE))))</f>
        <v/>
      </c>
      <c r="AJ48" s="51" t="str">
        <f>IF($E$7="Semana 1",'Semana 1'!O47,IF($E$7="Semana 2",'Semana 2'!O47,IF($E$7="Semana 3",'Semana 3'!O47,IF($E$7="Semana 4",'Semana 4'!O47,FALSE))))</f>
        <v> - </v>
      </c>
      <c r="AK48" s="52" t="str">
        <f>IF($E$7="Semana 1",'Semana 1'!P47,IF($E$7="Semana 2",'Semana 2'!P47,IF($E$7="Semana 3",'Semana 3'!P47,IF($E$7="Semana 4",'Semana 4'!P47,FALSE))))</f>
        <v>-1.0</v>
      </c>
      <c r="AL48" s="51" t="str">
        <f>IF($E$7="Semana 1",'Semana 1'!Q47,IF($E$7="Semana 2",'Semana 2'!Q47,IF($E$7="Semana 3",'Semana 3'!Q47,IF($E$7="Semana 4",'Semana 4'!Q47,FALSE))))</f>
        <v/>
      </c>
      <c r="AM48" s="51" t="str">
        <f>IF($E$7="Semana 1",'Semana 1'!R47,IF($E$7="Semana 2",'Semana 2'!R47,IF($E$7="Semana 3",'Semana 3'!R47,IF($E$7="Semana 4",'Semana 4'!R47,FALSE))))</f>
        <v/>
      </c>
      <c r="AN48" s="53" t="str">
        <f>IF($E$7="Semana 1",'Semana 1'!S47,IF($E$7="Semana 2",'Semana 2'!S47,IF($E$7="Semana 3",'Semana 3'!S47,IF($E$7="Semana 4",'Semana 4'!S47,FALSE))))</f>
        <v/>
      </c>
      <c r="AO48" s="53" t="str">
        <f>IF($E$7="Semana 1",'Semana 1'!T47,IF($E$7="Semana 2",'Semana 2'!T47,IF($E$7="Semana 3",'Semana 3'!T47,IF($E$7="Semana 4",'Semana 4'!T47,FALSE))))</f>
        <v/>
      </c>
      <c r="AP48" s="51" t="str">
        <f>IF($E$7="Semana 1",'Semana 1'!U47,IF($E$7="Semana 2",'Semana 2'!U47,IF($E$7="Semana 3",'Semana 3'!U47,IF($E$7="Semana 4",'Semana 4'!U47,FALSE))))</f>
        <v/>
      </c>
      <c r="AQ48" s="51" t="str">
        <f>IF($E$7="Semana 1",'Semana 1'!V47,IF($E$7="Semana 2",'Semana 2'!V47,IF($E$7="Semana 3",'Semana 3'!V47,IF($E$7="Semana 4",'Semana 4'!V47,FALSE))))</f>
        <v/>
      </c>
      <c r="AR48" s="53" t="str">
        <f>IF($E$7="Semana 1",'Semana 1'!W47,IF($E$7="Semana 2",'Semana 2'!W47,IF($E$7="Semana 3",'Semana 3'!W47,IF($E$7="Semana 4",'Semana 4'!W47,FALSE))))</f>
        <v/>
      </c>
      <c r="AS48" s="53" t="str">
        <f>IF($E$7="Semana 1",'Semana 1'!X47,IF($E$7="Semana 2",'Semana 2'!X47,IF($E$7="Semana 3",'Semana 3'!X47,IF($E$7="Semana 4",'Semana 4'!X47,FALSE))))</f>
        <v/>
      </c>
      <c r="AT48" s="52" t="str">
        <f>IF($E$7="Semana 1",'Semana 1'!Y47,IF($E$7="Semana 2",'Semana 2'!Y47,IF($E$7="Semana 3",'Semana 3'!Y47,IF($E$7="Semana 4",'Semana 4'!Y47,FALSE))))</f>
        <v>0.0</v>
      </c>
      <c r="AU48" s="52" t="str">
        <f>IF($E$7="Semana 1",'Semana 1'!Z47,IF($E$7="Semana 2",'Semana 2'!Z47,IF($E$7="Semana 3",'Semana 3'!Z47,IF($E$7="Semana 4",'Semana 4'!Z47,FALSE))))</f>
        <v>-1.0</v>
      </c>
      <c r="AV48" s="52" t="str">
        <f>IF($E$7="Semana 1",'Semana 1'!AA47,IF($E$7="Semana 2",'Semana 2'!AA47,IF($E$7="Semana 3",'Semana 3'!AA47,IF($E$7="Semana 4",'Semana 4'!AA47,FALSE))))</f>
        <v>-1.0</v>
      </c>
      <c r="AW48" s="52" t="str">
        <f>IF($E$7="Semana 1",'Semana 1'!AB47,IF($E$7="Semana 2",'Semana 2'!AB47,IF($E$7="Semana 3",'Semana 3'!AB47,IF($E$7="Semana 4",'Semana 4'!AB47,FALSE))))</f>
        <v>-1.0</v>
      </c>
      <c r="AX48" s="52" t="str">
        <f>IF($E$7="Semana 1",'Semana 1'!AC47,IF($E$7="Semana 2",'Semana 2'!AC47,IF($E$7="Semana 3",'Semana 3'!AC47,IF($E$7="Semana 4",'Semana 4'!AC47,FALSE))))</f>
        <v>-1.0</v>
      </c>
      <c r="AY48" s="52" t="str">
        <f>IF($E$7="Semana 1",'Semana 1'!AD47,IF($E$7="Semana 2",'Semana 2'!AD47,IF($E$7="Semana 3",'Semana 3'!AD47,IF($E$7="Semana 4",'Semana 4'!AD47,FALSE))))</f>
        <v>-5.0</v>
      </c>
    </row>
    <row r="49" ht="15.75" customHeight="1">
      <c r="Y49" s="18" t="str">
        <f t="shared" si="1"/>
        <v>43</v>
      </c>
      <c r="Z49" s="19" t="str">
        <f>IF($E$7="Semana 1",'Semana 1'!E48,IF($E$7="Semana 2",'Semana 2'!E48,IF($E$7="Semana 3",'Semana 3'!E48,IF($E$7="Semana 4",'Semana 4'!E48,FALSE))))</f>
        <v>Laptop</v>
      </c>
      <c r="AA49" s="19" t="str">
        <f>IF($E$7="Semana 1",'Semana 1'!F48,IF($E$7="Semana 2",'Semana 2'!F48,IF($E$7="Semana 3",'Semana 3'!F48,IF($E$7="Semana 4",'Semana 4'!F48,FALSE))))</f>
        <v>Semana 1</v>
      </c>
      <c r="AB49" s="19" t="str">
        <f>IF($E$7="Semana 1",'Semana 1'!G48,IF($E$7="Semana 2",'Semana 2'!G48,IF($E$7="Semana 3",'Semana 3'!G48,IF($E$7="Semana 4",'Semana 4'!G48,FALSE))))</f>
        <v>Lap</v>
      </c>
      <c r="AC49" s="54" t="str">
        <f>IF($E$7="Semana 1",'Semana 1'!H48,IF($E$7="Semana 2",'Semana 2'!H48,IF($E$7="Semana 3",'Semana 3'!H48,IF($E$7="Semana 4",'Semana 4'!H48,FALSE))))</f>
        <v/>
      </c>
      <c r="AD49" s="54" t="str">
        <f>IF($E$7="Semana 1",'Semana 1'!I48,IF($E$7="Semana 2",'Semana 2'!I48,IF($E$7="Semana 3",'Semana 3'!I48,IF($E$7="Semana 4",'Semana 4'!I48,FALSE))))</f>
        <v> </v>
      </c>
      <c r="AE49" s="54" t="str">
        <f>IF($E$7="Semana 1",'Semana 1'!J48,IF($E$7="Semana 2",'Semana 2'!J48,IF($E$7="Semana 3",'Semana 3'!J48,IF($E$7="Semana 4",'Semana 4'!J48,FALSE))))</f>
        <v/>
      </c>
      <c r="AF49" s="54" t="str">
        <f>IF($E$7="Semana 1",'Semana 1'!K48,IF($E$7="Semana 2",'Semana 2'!K48,IF($E$7="Semana 3",'Semana 3'!K48,IF($E$7="Semana 4",'Semana 4'!K48,FALSE))))</f>
        <v> - </v>
      </c>
      <c r="AG49" s="54" t="str">
        <f>IF($E$7="Semana 1",'Semana 1'!L48,IF($E$7="Semana 2",'Semana 2'!L48,IF($E$7="Semana 3",'Semana 3'!L48,IF($E$7="Semana 4",'Semana 4'!L48,FALSE))))</f>
        <v/>
      </c>
      <c r="AH49" s="54" t="str">
        <f>IF($E$7="Semana 1",'Semana 1'!M48,IF($E$7="Semana 2",'Semana 2'!M48,IF($E$7="Semana 3",'Semana 3'!M48,IF($E$7="Semana 4",'Semana 4'!M48,FALSE))))</f>
        <v> - </v>
      </c>
      <c r="AI49" s="54" t="str">
        <f>IF($E$7="Semana 1",'Semana 1'!N48,IF($E$7="Semana 2",'Semana 2'!N48,IF($E$7="Semana 3",'Semana 3'!N48,IF($E$7="Semana 4",'Semana 4'!N48,FALSE))))</f>
        <v/>
      </c>
      <c r="AJ49" s="54" t="str">
        <f>IF($E$7="Semana 1",'Semana 1'!O48,IF($E$7="Semana 2",'Semana 2'!O48,IF($E$7="Semana 3",'Semana 3'!O48,IF($E$7="Semana 4",'Semana 4'!O48,FALSE))))</f>
        <v> - </v>
      </c>
      <c r="AK49" s="55" t="str">
        <f>IF($E$7="Semana 1",'Semana 1'!P48,IF($E$7="Semana 2",'Semana 2'!P48,IF($E$7="Semana 3",'Semana 3'!P48,IF($E$7="Semana 4",'Semana 4'!P48,FALSE))))</f>
        <v>-1.0</v>
      </c>
      <c r="AL49" s="54" t="str">
        <f>IF($E$7="Semana 1",'Semana 1'!Q48,IF($E$7="Semana 2",'Semana 2'!Q48,IF($E$7="Semana 3",'Semana 3'!Q48,IF($E$7="Semana 4",'Semana 4'!Q48,FALSE))))</f>
        <v/>
      </c>
      <c r="AM49" s="54" t="str">
        <f>IF($E$7="Semana 1",'Semana 1'!R48,IF($E$7="Semana 2",'Semana 2'!R48,IF($E$7="Semana 3",'Semana 3'!R48,IF($E$7="Semana 4",'Semana 4'!R48,FALSE))))</f>
        <v/>
      </c>
      <c r="AN49" s="54" t="str">
        <f>IF($E$7="Semana 1",'Semana 1'!S48,IF($E$7="Semana 2",'Semana 2'!S48,IF($E$7="Semana 3",'Semana 3'!S48,IF($E$7="Semana 4",'Semana 4'!S48,FALSE))))</f>
        <v/>
      </c>
      <c r="AO49" s="54" t="str">
        <f>IF($E$7="Semana 1",'Semana 1'!T48,IF($E$7="Semana 2",'Semana 2'!T48,IF($E$7="Semana 3",'Semana 3'!T48,IF($E$7="Semana 4",'Semana 4'!T48,FALSE))))</f>
        <v/>
      </c>
      <c r="AP49" s="54" t="str">
        <f>IF($E$7="Semana 1",'Semana 1'!U48,IF($E$7="Semana 2",'Semana 2'!U48,IF($E$7="Semana 3",'Semana 3'!U48,IF($E$7="Semana 4",'Semana 4'!U48,FALSE))))</f>
        <v/>
      </c>
      <c r="AQ49" s="54" t="str">
        <f>IF($E$7="Semana 1",'Semana 1'!V48,IF($E$7="Semana 2",'Semana 2'!V48,IF($E$7="Semana 3",'Semana 3'!V48,IF($E$7="Semana 4",'Semana 4'!V48,FALSE))))</f>
        <v/>
      </c>
      <c r="AR49" s="54" t="str">
        <f>IF($E$7="Semana 1",'Semana 1'!W48,IF($E$7="Semana 2",'Semana 2'!W48,IF($E$7="Semana 3",'Semana 3'!W48,IF($E$7="Semana 4",'Semana 4'!W48,FALSE))))</f>
        <v/>
      </c>
      <c r="AS49" s="54" t="str">
        <f>IF($E$7="Semana 1",'Semana 1'!X48,IF($E$7="Semana 2",'Semana 2'!X48,IF($E$7="Semana 3",'Semana 3'!X48,IF($E$7="Semana 4",'Semana 4'!X48,FALSE))))</f>
        <v/>
      </c>
      <c r="AT49" s="55" t="str">
        <f>IF($E$7="Semana 1",'Semana 1'!Y48,IF($E$7="Semana 2",'Semana 2'!Y48,IF($E$7="Semana 3",'Semana 3'!Y48,IF($E$7="Semana 4",'Semana 4'!Y48,FALSE))))</f>
        <v>0.0</v>
      </c>
      <c r="AU49" s="55" t="str">
        <f>IF($E$7="Semana 1",'Semana 1'!Z48,IF($E$7="Semana 2",'Semana 2'!Z48,IF($E$7="Semana 3",'Semana 3'!Z48,IF($E$7="Semana 4",'Semana 4'!Z48,FALSE))))</f>
        <v>-1.0</v>
      </c>
      <c r="AV49" s="55" t="str">
        <f>IF($E$7="Semana 1",'Semana 1'!AA48,IF($E$7="Semana 2",'Semana 2'!AA48,IF($E$7="Semana 3",'Semana 3'!AA48,IF($E$7="Semana 4",'Semana 4'!AA48,FALSE))))</f>
        <v>-1.0</v>
      </c>
      <c r="AW49" s="55" t="str">
        <f>IF($E$7="Semana 1",'Semana 1'!AB48,IF($E$7="Semana 2",'Semana 2'!AB48,IF($E$7="Semana 3",'Semana 3'!AB48,IF($E$7="Semana 4",'Semana 4'!AB48,FALSE))))</f>
        <v>-1.0</v>
      </c>
      <c r="AX49" s="55" t="str">
        <f>IF($E$7="Semana 1",'Semana 1'!AC48,IF($E$7="Semana 2",'Semana 2'!AC48,IF($E$7="Semana 3",'Semana 3'!AC48,IF($E$7="Semana 4",'Semana 4'!AC48,FALSE))))</f>
        <v>-1.0</v>
      </c>
      <c r="AY49" s="55" t="str">
        <f>IF($E$7="Semana 1",'Semana 1'!AD48,IF($E$7="Semana 2",'Semana 2'!AD48,IF($E$7="Semana 3",'Semana 3'!AD48,IF($E$7="Semana 4",'Semana 4'!AD48,FALSE))))</f>
        <v>-5.0</v>
      </c>
    </row>
    <row r="50" ht="15.75" customHeight="1">
      <c r="Y50" s="179" t="str">
        <f t="shared" si="1"/>
        <v>44</v>
      </c>
      <c r="Z50" s="180" t="str">
        <f>IF($E$7="Semana 1",'Semana 1'!E49,IF($E$7="Semana 2",'Semana 2'!E49,IF($E$7="Semana 3",'Semana 3'!E49,IF($E$7="Semana 4",'Semana 4'!E49,FALSE))))</f>
        <v>Yissa Julavy Aquino Garcia</v>
      </c>
      <c r="AA50" s="180" t="str">
        <f>IF($E$7="Semana 1",'Semana 1'!F49,IF($E$7="Semana 2",'Semana 2'!F49,IF($E$7="Semana 3",'Semana 3'!F49,IF($E$7="Semana 4",'Semana 4'!F49,FALSE))))</f>
        <v>Semana 1</v>
      </c>
      <c r="AB50" s="180" t="str">
        <f>IF($E$7="Semana 1",'Semana 1'!G49,IF($E$7="Semana 2",'Semana 2'!G49,IF($E$7="Semana 3",'Semana 3'!G49,IF($E$7="Semana 4",'Semana 4'!G49,FALSE))))</f>
        <v>AGENTE</v>
      </c>
      <c r="AC50" s="51" t="str">
        <f>IF($E$7="Semana 1",'Semana 1'!H49,IF($E$7="Semana 2",'Semana 2'!H49,IF($E$7="Semana 3",'Semana 3'!H49,IF($E$7="Semana 4",'Semana 4'!H49,FALSE))))</f>
        <v>8:00</v>
      </c>
      <c r="AD50" s="51" t="str">
        <f>IF($E$7="Semana 1",'Semana 1'!I49,IF($E$7="Semana 2",'Semana 2'!I49,IF($E$7="Semana 3",'Semana 3'!I49,IF($E$7="Semana 4",'Semana 4'!I49,FALSE))))</f>
        <v>17:00</v>
      </c>
      <c r="AE50" s="51" t="str">
        <f>IF($E$7="Semana 1",'Semana 1'!J49,IF($E$7="Semana 2",'Semana 2'!J49,IF($E$7="Semana 3",'Semana 3'!J49,IF($E$7="Semana 4",'Semana 4'!J49,FALSE))))</f>
        <v>12:00</v>
      </c>
      <c r="AF50" s="51" t="str">
        <f>IF($E$7="Semana 1",'Semana 1'!K49,IF($E$7="Semana 2",'Semana 2'!K49,IF($E$7="Semana 3",'Semana 3'!K49,IF($E$7="Semana 4",'Semana 4'!K49,FALSE))))</f>
        <v>13:00</v>
      </c>
      <c r="AG50" s="51" t="str">
        <f>IF($E$7="Semana 1",'Semana 1'!L49,IF($E$7="Semana 2",'Semana 2'!L49,IF($E$7="Semana 3",'Semana 3'!L49,IF($E$7="Semana 4",'Semana 4'!L49,FALSE))))</f>
        <v>8:30</v>
      </c>
      <c r="AH50" s="51" t="str">
        <f>IF($E$7="Semana 1",'Semana 1'!M49,IF($E$7="Semana 2",'Semana 2'!M49,IF($E$7="Semana 3",'Semana 3'!M49,IF($E$7="Semana 4",'Semana 4'!M49,FALSE))))</f>
        <v>8:50</v>
      </c>
      <c r="AI50" s="51" t="str">
        <f>IF($E$7="Semana 1",'Semana 1'!N49,IF($E$7="Semana 2",'Semana 2'!N49,IF($E$7="Semana 3",'Semana 3'!N49,IF($E$7="Semana 4",'Semana 4'!N49,FALSE))))</f>
        <v>14:50</v>
      </c>
      <c r="AJ50" s="51" t="str">
        <f>IF($E$7="Semana 1",'Semana 1'!O49,IF($E$7="Semana 2",'Semana 2'!O49,IF($E$7="Semana 3",'Semana 3'!O49,IF($E$7="Semana 4",'Semana 4'!O49,FALSE))))</f>
        <v>15:00</v>
      </c>
      <c r="AK50" s="52" t="str">
        <f>IF($E$7="Semana 1",'Semana 1'!P49,IF($E$7="Semana 2",'Semana 2'!P49,IF($E$7="Semana 3",'Semana 3'!P49,IF($E$7="Semana 4",'Semana 4'!P49,FALSE))))</f>
        <v>8.0</v>
      </c>
      <c r="AL50" s="51" t="str">
        <f>IF($E$7="Semana 1",'Semana 1'!Q49,IF($E$7="Semana 2",'Semana 2'!Q49,IF($E$7="Semana 3",'Semana 3'!Q49,IF($E$7="Semana 4",'Semana 4'!Q49,FALSE))))</f>
        <v>8:00</v>
      </c>
      <c r="AM50" s="51" t="str">
        <f>IF($E$7="Semana 1",'Semana 1'!R49,IF($E$7="Semana 2",'Semana 2'!R49,IF($E$7="Semana 3",'Semana 3'!R49,IF($E$7="Semana 4",'Semana 4'!R49,FALSE))))</f>
        <v>13:00</v>
      </c>
      <c r="AN50" s="53" t="str">
        <f>IF($E$7="Semana 1",'Semana 1'!S49,IF($E$7="Semana 2",'Semana 2'!S49,IF($E$7="Semana 3",'Semana 3'!S49,IF($E$7="Semana 4",'Semana 4'!S49,FALSE))))</f>
        <v/>
      </c>
      <c r="AO50" s="53" t="str">
        <f>IF($E$7="Semana 1",'Semana 1'!T49,IF($E$7="Semana 2",'Semana 2'!T49,IF($E$7="Semana 3",'Semana 3'!T49,IF($E$7="Semana 4",'Semana 4'!T49,FALSE))))</f>
        <v/>
      </c>
      <c r="AP50" s="51" t="str">
        <f>IF($E$7="Semana 1",'Semana 1'!U49,IF($E$7="Semana 2",'Semana 2'!U49,IF($E$7="Semana 3",'Semana 3'!U49,IF($E$7="Semana 4",'Semana 4'!U49,FALSE))))</f>
        <v>11:00</v>
      </c>
      <c r="AQ50" s="51" t="str">
        <f>IF($E$7="Semana 1",'Semana 1'!V49,IF($E$7="Semana 2",'Semana 2'!V49,IF($E$7="Semana 3",'Semana 3'!V49,IF($E$7="Semana 4",'Semana 4'!V49,FALSE))))</f>
        <v>11:30</v>
      </c>
      <c r="AR50" s="53" t="str">
        <f>IF($E$7="Semana 1",'Semana 1'!W49,IF($E$7="Semana 2",'Semana 2'!W49,IF($E$7="Semana 3",'Semana 3'!W49,IF($E$7="Semana 4",'Semana 4'!W49,FALSE))))</f>
        <v/>
      </c>
      <c r="AS50" s="53" t="str">
        <f>IF($E$7="Semana 1",'Semana 1'!X49,IF($E$7="Semana 2",'Semana 2'!X49,IF($E$7="Semana 3",'Semana 3'!X49,IF($E$7="Semana 4",'Semana 4'!X49,FALSE))))</f>
        <v/>
      </c>
      <c r="AT50" s="52" t="str">
        <f>IF($E$7="Semana 1",'Semana 1'!Y49,IF($E$7="Semana 2",'Semana 2'!Y49,IF($E$7="Semana 3",'Semana 3'!Y49,IF($E$7="Semana 4",'Semana 4'!Y49,FALSE))))</f>
        <v>5.0</v>
      </c>
      <c r="AU50" s="52" t="str">
        <f>IF($E$7="Semana 1",'Semana 1'!Z49,IF($E$7="Semana 2",'Semana 2'!Z49,IF($E$7="Semana 3",'Semana 3'!Z49,IF($E$7="Semana 4",'Semana 4'!Z49,FALSE))))</f>
        <v>8.0</v>
      </c>
      <c r="AV50" s="52" t="str">
        <f>IF($E$7="Semana 1",'Semana 1'!AA49,IF($E$7="Semana 2",'Semana 2'!AA49,IF($E$7="Semana 3",'Semana 3'!AA49,IF($E$7="Semana 4",'Semana 4'!AA49,FALSE))))</f>
        <v>8.0</v>
      </c>
      <c r="AW50" s="52" t="str">
        <f>IF($E$7="Semana 1",'Semana 1'!AB49,IF($E$7="Semana 2",'Semana 2'!AB49,IF($E$7="Semana 3",'Semana 3'!AB49,IF($E$7="Semana 4",'Semana 4'!AB49,FALSE))))</f>
        <v>8.0</v>
      </c>
      <c r="AX50" s="52" t="str">
        <f>IF($E$7="Semana 1",'Semana 1'!AC49,IF($E$7="Semana 2",'Semana 2'!AC49,IF($E$7="Semana 3",'Semana 3'!AC49,IF($E$7="Semana 4",'Semana 4'!AC49,FALSE))))</f>
        <v>8.0</v>
      </c>
      <c r="AY50" s="52" t="str">
        <f>IF($E$7="Semana 1",'Semana 1'!AD49,IF($E$7="Semana 2",'Semana 2'!AD49,IF($E$7="Semana 3",'Semana 3'!AD49,IF($E$7="Semana 4",'Semana 4'!AD49,FALSE))))</f>
        <v>45.1</v>
      </c>
    </row>
    <row r="51" ht="15.75" customHeight="1">
      <c r="Y51" s="179" t="str">
        <f t="shared" si="1"/>
        <v>45</v>
      </c>
      <c r="Z51" s="180" t="str">
        <f>IF($E$7="Semana 1",'Semana 1'!E50,IF($E$7="Semana 2",'Semana 2'!E50,IF($E$7="Semana 3",'Semana 3'!E50,IF($E$7="Semana 4",'Semana 4'!E50,FALSE))))</f>
        <v>-</v>
      </c>
      <c r="AA51" s="180" t="str">
        <f>IF($E$7="Semana 1",'Semana 1'!F50,IF($E$7="Semana 2",'Semana 2'!F50,IF($E$7="Semana 3",'Semana 3'!F50,IF($E$7="Semana 4",'Semana 4'!F50,FALSE))))</f>
        <v>Semana 1</v>
      </c>
      <c r="AB51" s="180" t="str">
        <f>IF($E$7="Semana 1",'Semana 1'!G50,IF($E$7="Semana 2",'Semana 2'!G50,IF($E$7="Semana 3",'Semana 3'!G50,IF($E$7="Semana 4",'Semana 4'!G50,FALSE))))</f>
        <v>-</v>
      </c>
      <c r="AC51" s="51" t="str">
        <f>IF($E$7="Semana 1",'Semana 1'!H50,IF($E$7="Semana 2",'Semana 2'!H50,IF($E$7="Semana 3",'Semana 3'!H50,IF($E$7="Semana 4",'Semana 4'!H50,FALSE))))</f>
        <v/>
      </c>
      <c r="AD51" s="51" t="str">
        <f>IF($E$7="Semana 1",'Semana 1'!I50,IF($E$7="Semana 2",'Semana 2'!I50,IF($E$7="Semana 3",'Semana 3'!I50,IF($E$7="Semana 4",'Semana 4'!I50,FALSE))))</f>
        <v> </v>
      </c>
      <c r="AE51" s="51" t="str">
        <f>IF($E$7="Semana 1",'Semana 1'!J50,IF($E$7="Semana 2",'Semana 2'!J50,IF($E$7="Semana 3",'Semana 3'!J50,IF($E$7="Semana 4",'Semana 4'!J50,FALSE))))</f>
        <v/>
      </c>
      <c r="AF51" s="51" t="str">
        <f>IF($E$7="Semana 1",'Semana 1'!K50,IF($E$7="Semana 2",'Semana 2'!K50,IF($E$7="Semana 3",'Semana 3'!K50,IF($E$7="Semana 4",'Semana 4'!K50,FALSE))))</f>
        <v> - </v>
      </c>
      <c r="AG51" s="51" t="str">
        <f>IF($E$7="Semana 1",'Semana 1'!L50,IF($E$7="Semana 2",'Semana 2'!L50,IF($E$7="Semana 3",'Semana 3'!L50,IF($E$7="Semana 4",'Semana 4'!L50,FALSE))))</f>
        <v/>
      </c>
      <c r="AH51" s="51" t="str">
        <f>IF($E$7="Semana 1",'Semana 1'!M50,IF($E$7="Semana 2",'Semana 2'!M50,IF($E$7="Semana 3",'Semana 3'!M50,IF($E$7="Semana 4",'Semana 4'!M50,FALSE))))</f>
        <v> - </v>
      </c>
      <c r="AI51" s="51" t="str">
        <f>IF($E$7="Semana 1",'Semana 1'!N50,IF($E$7="Semana 2",'Semana 2'!N50,IF($E$7="Semana 3",'Semana 3'!N50,IF($E$7="Semana 4",'Semana 4'!N50,FALSE))))</f>
        <v/>
      </c>
      <c r="AJ51" s="51" t="str">
        <f>IF($E$7="Semana 1",'Semana 1'!O50,IF($E$7="Semana 2",'Semana 2'!O50,IF($E$7="Semana 3",'Semana 3'!O50,IF($E$7="Semana 4",'Semana 4'!O50,FALSE))))</f>
        <v> - </v>
      </c>
      <c r="AK51" s="52" t="str">
        <f>IF($E$7="Semana 1",'Semana 1'!P50,IF($E$7="Semana 2",'Semana 2'!P50,IF($E$7="Semana 3",'Semana 3'!P50,IF($E$7="Semana 4",'Semana 4'!P50,FALSE))))</f>
        <v>-1.0</v>
      </c>
      <c r="AL51" s="51" t="str">
        <f>IF($E$7="Semana 1",'Semana 1'!Q50,IF($E$7="Semana 2",'Semana 2'!Q50,IF($E$7="Semana 3",'Semana 3'!Q50,IF($E$7="Semana 4",'Semana 4'!Q50,FALSE))))</f>
        <v/>
      </c>
      <c r="AM51" s="51" t="str">
        <f>IF($E$7="Semana 1",'Semana 1'!R50,IF($E$7="Semana 2",'Semana 2'!R50,IF($E$7="Semana 3",'Semana 3'!R50,IF($E$7="Semana 4",'Semana 4'!R50,FALSE))))</f>
        <v/>
      </c>
      <c r="AN51" s="53" t="str">
        <f>IF($E$7="Semana 1",'Semana 1'!S50,IF($E$7="Semana 2",'Semana 2'!S50,IF($E$7="Semana 3",'Semana 3'!S50,IF($E$7="Semana 4",'Semana 4'!S50,FALSE))))</f>
        <v/>
      </c>
      <c r="AO51" s="53" t="str">
        <f>IF($E$7="Semana 1",'Semana 1'!T50,IF($E$7="Semana 2",'Semana 2'!T50,IF($E$7="Semana 3",'Semana 3'!T50,IF($E$7="Semana 4",'Semana 4'!T50,FALSE))))</f>
        <v/>
      </c>
      <c r="AP51" s="51" t="str">
        <f>IF($E$7="Semana 1",'Semana 1'!U50,IF($E$7="Semana 2",'Semana 2'!U50,IF($E$7="Semana 3",'Semana 3'!U50,IF($E$7="Semana 4",'Semana 4'!U50,FALSE))))</f>
        <v/>
      </c>
      <c r="AQ51" s="51" t="str">
        <f>IF($E$7="Semana 1",'Semana 1'!V50,IF($E$7="Semana 2",'Semana 2'!V50,IF($E$7="Semana 3",'Semana 3'!V50,IF($E$7="Semana 4",'Semana 4'!V50,FALSE))))</f>
        <v/>
      </c>
      <c r="AR51" s="53" t="str">
        <f>IF($E$7="Semana 1",'Semana 1'!W50,IF($E$7="Semana 2",'Semana 2'!W50,IF($E$7="Semana 3",'Semana 3'!W50,IF($E$7="Semana 4",'Semana 4'!W50,FALSE))))</f>
        <v/>
      </c>
      <c r="AS51" s="53" t="str">
        <f>IF($E$7="Semana 1",'Semana 1'!X50,IF($E$7="Semana 2",'Semana 2'!X50,IF($E$7="Semana 3",'Semana 3'!X50,IF($E$7="Semana 4",'Semana 4'!X50,FALSE))))</f>
        <v/>
      </c>
      <c r="AT51" s="52" t="str">
        <f>IF($E$7="Semana 1",'Semana 1'!Y50,IF($E$7="Semana 2",'Semana 2'!Y50,IF($E$7="Semana 3",'Semana 3'!Y50,IF($E$7="Semana 4",'Semana 4'!Y50,FALSE))))</f>
        <v>0.0</v>
      </c>
      <c r="AU51" s="52" t="str">
        <f>IF($E$7="Semana 1",'Semana 1'!Z50,IF($E$7="Semana 2",'Semana 2'!Z50,IF($E$7="Semana 3",'Semana 3'!Z50,IF($E$7="Semana 4",'Semana 4'!Z50,FALSE))))</f>
        <v>-1.0</v>
      </c>
      <c r="AV51" s="52" t="str">
        <f>IF($E$7="Semana 1",'Semana 1'!AA50,IF($E$7="Semana 2",'Semana 2'!AA50,IF($E$7="Semana 3",'Semana 3'!AA50,IF($E$7="Semana 4",'Semana 4'!AA50,FALSE))))</f>
        <v>-1.0</v>
      </c>
      <c r="AW51" s="52" t="str">
        <f>IF($E$7="Semana 1",'Semana 1'!AB50,IF($E$7="Semana 2",'Semana 2'!AB50,IF($E$7="Semana 3",'Semana 3'!AB50,IF($E$7="Semana 4",'Semana 4'!AB50,FALSE))))</f>
        <v>-1.0</v>
      </c>
      <c r="AX51" s="52" t="str">
        <f>IF($E$7="Semana 1",'Semana 1'!AC50,IF($E$7="Semana 2",'Semana 2'!AC50,IF($E$7="Semana 3",'Semana 3'!AC50,IF($E$7="Semana 4",'Semana 4'!AC50,FALSE))))</f>
        <v>-1.0</v>
      </c>
      <c r="AY51" s="52" t="str">
        <f>IF($E$7="Semana 1",'Semana 1'!AD50,IF($E$7="Semana 2",'Semana 2'!AD50,IF($E$7="Semana 3",'Semana 3'!AD50,IF($E$7="Semana 4",'Semana 4'!AD50,FALSE))))</f>
        <v>-5.0</v>
      </c>
    </row>
    <row r="52" ht="15.75" customHeight="1">
      <c r="Y52" s="179" t="str">
        <f t="shared" si="1"/>
        <v>46</v>
      </c>
      <c r="Z52" s="180" t="str">
        <f>IF($E$7="Semana 1",'Semana 1'!E51,IF($E$7="Semana 2",'Semana 2'!E51,IF($E$7="Semana 3",'Semana 3'!E51,IF($E$7="Semana 4",'Semana 4'!E51,FALSE))))</f>
        <v>-</v>
      </c>
      <c r="AA52" s="180" t="str">
        <f>IF($E$7="Semana 1",'Semana 1'!F51,IF($E$7="Semana 2",'Semana 2'!F51,IF($E$7="Semana 3",'Semana 3'!F51,IF($E$7="Semana 4",'Semana 4'!F51,FALSE))))</f>
        <v>Semana 1</v>
      </c>
      <c r="AB52" s="180" t="str">
        <f>IF($E$7="Semana 1",'Semana 1'!G51,IF($E$7="Semana 2",'Semana 2'!G51,IF($E$7="Semana 3",'Semana 3'!G51,IF($E$7="Semana 4",'Semana 4'!G51,FALSE))))</f>
        <v>-</v>
      </c>
      <c r="AC52" s="51" t="str">
        <f>IF($E$7="Semana 1",'Semana 1'!H51,IF($E$7="Semana 2",'Semana 2'!H51,IF($E$7="Semana 3",'Semana 3'!H51,IF($E$7="Semana 4",'Semana 4'!H51,FALSE))))</f>
        <v/>
      </c>
      <c r="AD52" s="51" t="str">
        <f>IF($E$7="Semana 1",'Semana 1'!I51,IF($E$7="Semana 2",'Semana 2'!I51,IF($E$7="Semana 3",'Semana 3'!I51,IF($E$7="Semana 4",'Semana 4'!I51,FALSE))))</f>
        <v> </v>
      </c>
      <c r="AE52" s="51" t="str">
        <f>IF($E$7="Semana 1",'Semana 1'!J51,IF($E$7="Semana 2",'Semana 2'!J51,IF($E$7="Semana 3",'Semana 3'!J51,IF($E$7="Semana 4",'Semana 4'!J51,FALSE))))</f>
        <v/>
      </c>
      <c r="AF52" s="51" t="str">
        <f>IF($E$7="Semana 1",'Semana 1'!K51,IF($E$7="Semana 2",'Semana 2'!K51,IF($E$7="Semana 3",'Semana 3'!K51,IF($E$7="Semana 4",'Semana 4'!K51,FALSE))))</f>
        <v> - </v>
      </c>
      <c r="AG52" s="51" t="str">
        <f>IF($E$7="Semana 1",'Semana 1'!L51,IF($E$7="Semana 2",'Semana 2'!L51,IF($E$7="Semana 3",'Semana 3'!L51,IF($E$7="Semana 4",'Semana 4'!L51,FALSE))))</f>
        <v/>
      </c>
      <c r="AH52" s="51" t="str">
        <f>IF($E$7="Semana 1",'Semana 1'!M51,IF($E$7="Semana 2",'Semana 2'!M51,IF($E$7="Semana 3",'Semana 3'!M51,IF($E$7="Semana 4",'Semana 4'!M51,FALSE))))</f>
        <v> - </v>
      </c>
      <c r="AI52" s="51" t="str">
        <f>IF($E$7="Semana 1",'Semana 1'!N51,IF($E$7="Semana 2",'Semana 2'!N51,IF($E$7="Semana 3",'Semana 3'!N51,IF($E$7="Semana 4",'Semana 4'!N51,FALSE))))</f>
        <v/>
      </c>
      <c r="AJ52" s="51" t="str">
        <f>IF($E$7="Semana 1",'Semana 1'!O51,IF($E$7="Semana 2",'Semana 2'!O51,IF($E$7="Semana 3",'Semana 3'!O51,IF($E$7="Semana 4",'Semana 4'!O51,FALSE))))</f>
        <v> - </v>
      </c>
      <c r="AK52" s="52" t="str">
        <f>IF($E$7="Semana 1",'Semana 1'!P51,IF($E$7="Semana 2",'Semana 2'!P51,IF($E$7="Semana 3",'Semana 3'!P51,IF($E$7="Semana 4",'Semana 4'!P51,FALSE))))</f>
        <v>-1.0</v>
      </c>
      <c r="AL52" s="51" t="str">
        <f>IF($E$7="Semana 1",'Semana 1'!Q51,IF($E$7="Semana 2",'Semana 2'!Q51,IF($E$7="Semana 3",'Semana 3'!Q51,IF($E$7="Semana 4",'Semana 4'!Q51,FALSE))))</f>
        <v/>
      </c>
      <c r="AM52" s="51" t="str">
        <f>IF($E$7="Semana 1",'Semana 1'!R51,IF($E$7="Semana 2",'Semana 2'!R51,IF($E$7="Semana 3",'Semana 3'!R51,IF($E$7="Semana 4",'Semana 4'!R51,FALSE))))</f>
        <v/>
      </c>
      <c r="AN52" s="53" t="str">
        <f>IF($E$7="Semana 1",'Semana 1'!S51,IF($E$7="Semana 2",'Semana 2'!S51,IF($E$7="Semana 3",'Semana 3'!S51,IF($E$7="Semana 4",'Semana 4'!S51,FALSE))))</f>
        <v/>
      </c>
      <c r="AO52" s="53" t="str">
        <f>IF($E$7="Semana 1",'Semana 1'!T51,IF($E$7="Semana 2",'Semana 2'!T51,IF($E$7="Semana 3",'Semana 3'!T51,IF($E$7="Semana 4",'Semana 4'!T51,FALSE))))</f>
        <v/>
      </c>
      <c r="AP52" s="51" t="str">
        <f>IF($E$7="Semana 1",'Semana 1'!U51,IF($E$7="Semana 2",'Semana 2'!U51,IF($E$7="Semana 3",'Semana 3'!U51,IF($E$7="Semana 4",'Semana 4'!U51,FALSE))))</f>
        <v/>
      </c>
      <c r="AQ52" s="51" t="str">
        <f>IF($E$7="Semana 1",'Semana 1'!V51,IF($E$7="Semana 2",'Semana 2'!V51,IF($E$7="Semana 3",'Semana 3'!V51,IF($E$7="Semana 4",'Semana 4'!V51,FALSE))))</f>
        <v/>
      </c>
      <c r="AR52" s="53" t="str">
        <f>IF($E$7="Semana 1",'Semana 1'!W51,IF($E$7="Semana 2",'Semana 2'!W51,IF($E$7="Semana 3",'Semana 3'!W51,IF($E$7="Semana 4",'Semana 4'!W51,FALSE))))</f>
        <v/>
      </c>
      <c r="AS52" s="53" t="str">
        <f>IF($E$7="Semana 1",'Semana 1'!X51,IF($E$7="Semana 2",'Semana 2'!X51,IF($E$7="Semana 3",'Semana 3'!X51,IF($E$7="Semana 4",'Semana 4'!X51,FALSE))))</f>
        <v/>
      </c>
      <c r="AT52" s="52" t="str">
        <f>IF($E$7="Semana 1",'Semana 1'!Y51,IF($E$7="Semana 2",'Semana 2'!Y51,IF($E$7="Semana 3",'Semana 3'!Y51,IF($E$7="Semana 4",'Semana 4'!Y51,FALSE))))</f>
        <v>0.0</v>
      </c>
      <c r="AU52" s="52" t="str">
        <f>IF($E$7="Semana 1",'Semana 1'!Z51,IF($E$7="Semana 2",'Semana 2'!Z51,IF($E$7="Semana 3",'Semana 3'!Z51,IF($E$7="Semana 4",'Semana 4'!Z51,FALSE))))</f>
        <v>-1.0</v>
      </c>
      <c r="AV52" s="52" t="str">
        <f>IF($E$7="Semana 1",'Semana 1'!AA51,IF($E$7="Semana 2",'Semana 2'!AA51,IF($E$7="Semana 3",'Semana 3'!AA51,IF($E$7="Semana 4",'Semana 4'!AA51,FALSE))))</f>
        <v>-1.0</v>
      </c>
      <c r="AW52" s="52" t="str">
        <f>IF($E$7="Semana 1",'Semana 1'!AB51,IF($E$7="Semana 2",'Semana 2'!AB51,IF($E$7="Semana 3",'Semana 3'!AB51,IF($E$7="Semana 4",'Semana 4'!AB51,FALSE))))</f>
        <v>-1.0</v>
      </c>
      <c r="AX52" s="52" t="str">
        <f>IF($E$7="Semana 1",'Semana 1'!AC51,IF($E$7="Semana 2",'Semana 2'!AC51,IF($E$7="Semana 3",'Semana 3'!AC51,IF($E$7="Semana 4",'Semana 4'!AC51,FALSE))))</f>
        <v>-1.0</v>
      </c>
      <c r="AY52" s="52" t="str">
        <f>IF($E$7="Semana 1",'Semana 1'!AD51,IF($E$7="Semana 2",'Semana 2'!AD51,IF($E$7="Semana 3",'Semana 3'!AD51,IF($E$7="Semana 4",'Semana 4'!AD51,FALSE))))</f>
        <v>-5.0</v>
      </c>
    </row>
    <row r="53" ht="15.75" customHeight="1">
      <c r="Y53" s="179" t="str">
        <f t="shared" si="1"/>
        <v>47</v>
      </c>
      <c r="Z53" s="180" t="str">
        <f>IF($E$7="Semana 1",'Semana 1'!E52,IF($E$7="Semana 2",'Semana 2'!E52,IF($E$7="Semana 3",'Semana 3'!E52,IF($E$7="Semana 4",'Semana 4'!E52,FALSE))))</f>
        <v>Karla Isabel Herandez Rivas</v>
      </c>
      <c r="AA53" s="180" t="str">
        <f>IF($E$7="Semana 1",'Semana 1'!F52,IF($E$7="Semana 2",'Semana 2'!F52,IF($E$7="Semana 3",'Semana 3'!F52,IF($E$7="Semana 4",'Semana 4'!F52,FALSE))))</f>
        <v>Semana 1</v>
      </c>
      <c r="AB53" s="180" t="str">
        <f>IF($E$7="Semana 1",'Semana 1'!G52,IF($E$7="Semana 2",'Semana 2'!G52,IF($E$7="Semana 3",'Semana 3'!G52,IF($E$7="Semana 4",'Semana 4'!G52,FALSE))))</f>
        <v>SOPORTE</v>
      </c>
      <c r="AC53" s="51" t="str">
        <f>IF($E$7="Semana 1",'Semana 1'!H52,IF($E$7="Semana 2",'Semana 2'!H52,IF($E$7="Semana 3",'Semana 3'!H52,IF($E$7="Semana 4",'Semana 4'!H52,FALSE))))</f>
        <v/>
      </c>
      <c r="AD53" s="51" t="str">
        <f>IF($E$7="Semana 1",'Semana 1'!I52,IF($E$7="Semana 2",'Semana 2'!I52,IF($E$7="Semana 3",'Semana 3'!I52,IF($E$7="Semana 4",'Semana 4'!I52,FALSE))))</f>
        <v> </v>
      </c>
      <c r="AE53" s="51" t="str">
        <f>IF($E$7="Semana 1",'Semana 1'!J52,IF($E$7="Semana 2",'Semana 2'!J52,IF($E$7="Semana 3",'Semana 3'!J52,IF($E$7="Semana 4",'Semana 4'!J52,FALSE))))</f>
        <v/>
      </c>
      <c r="AF53" s="51" t="str">
        <f>IF($E$7="Semana 1",'Semana 1'!K52,IF($E$7="Semana 2",'Semana 2'!K52,IF($E$7="Semana 3",'Semana 3'!K52,IF($E$7="Semana 4",'Semana 4'!K52,FALSE))))</f>
        <v> - </v>
      </c>
      <c r="AG53" s="51" t="str">
        <f>IF($E$7="Semana 1",'Semana 1'!L52,IF($E$7="Semana 2",'Semana 2'!L52,IF($E$7="Semana 3",'Semana 3'!L52,IF($E$7="Semana 4",'Semana 4'!L52,FALSE))))</f>
        <v/>
      </c>
      <c r="AH53" s="51" t="str">
        <f>IF($E$7="Semana 1",'Semana 1'!M52,IF($E$7="Semana 2",'Semana 2'!M52,IF($E$7="Semana 3",'Semana 3'!M52,IF($E$7="Semana 4",'Semana 4'!M52,FALSE))))</f>
        <v> - </v>
      </c>
      <c r="AI53" s="51" t="str">
        <f>IF($E$7="Semana 1",'Semana 1'!N52,IF($E$7="Semana 2",'Semana 2'!N52,IF($E$7="Semana 3",'Semana 3'!N52,IF($E$7="Semana 4",'Semana 4'!N52,FALSE))))</f>
        <v/>
      </c>
      <c r="AJ53" s="51" t="str">
        <f>IF($E$7="Semana 1",'Semana 1'!O52,IF($E$7="Semana 2",'Semana 2'!O52,IF($E$7="Semana 3",'Semana 3'!O52,IF($E$7="Semana 4",'Semana 4'!O52,FALSE))))</f>
        <v> - </v>
      </c>
      <c r="AK53" s="52" t="str">
        <f>IF($E$7="Semana 1",'Semana 1'!P52,IF($E$7="Semana 2",'Semana 2'!P52,IF($E$7="Semana 3",'Semana 3'!P52,IF($E$7="Semana 4",'Semana 4'!P52,FALSE))))</f>
        <v>-1.0</v>
      </c>
      <c r="AL53" s="51" t="str">
        <f>IF($E$7="Semana 1",'Semana 1'!Q52,IF($E$7="Semana 2",'Semana 2'!Q52,IF($E$7="Semana 3",'Semana 3'!Q52,IF($E$7="Semana 4",'Semana 4'!Q52,FALSE))))</f>
        <v/>
      </c>
      <c r="AM53" s="51" t="str">
        <f>IF($E$7="Semana 1",'Semana 1'!R52,IF($E$7="Semana 2",'Semana 2'!R52,IF($E$7="Semana 3",'Semana 3'!R52,IF($E$7="Semana 4",'Semana 4'!R52,FALSE))))</f>
        <v/>
      </c>
      <c r="AN53" s="53" t="str">
        <f>IF($E$7="Semana 1",'Semana 1'!S52,IF($E$7="Semana 2",'Semana 2'!S52,IF($E$7="Semana 3",'Semana 3'!S52,IF($E$7="Semana 4",'Semana 4'!S52,FALSE))))</f>
        <v/>
      </c>
      <c r="AO53" s="53" t="str">
        <f>IF($E$7="Semana 1",'Semana 1'!T52,IF($E$7="Semana 2",'Semana 2'!T52,IF($E$7="Semana 3",'Semana 3'!T52,IF($E$7="Semana 4",'Semana 4'!T52,FALSE))))</f>
        <v/>
      </c>
      <c r="AP53" s="51" t="str">
        <f>IF($E$7="Semana 1",'Semana 1'!U52,IF($E$7="Semana 2",'Semana 2'!U52,IF($E$7="Semana 3",'Semana 3'!U52,IF($E$7="Semana 4",'Semana 4'!U52,FALSE))))</f>
        <v/>
      </c>
      <c r="AQ53" s="51" t="str">
        <f>IF($E$7="Semana 1",'Semana 1'!V52,IF($E$7="Semana 2",'Semana 2'!V52,IF($E$7="Semana 3",'Semana 3'!V52,IF($E$7="Semana 4",'Semana 4'!V52,FALSE))))</f>
        <v/>
      </c>
      <c r="AR53" s="53" t="str">
        <f>IF($E$7="Semana 1",'Semana 1'!W52,IF($E$7="Semana 2",'Semana 2'!W52,IF($E$7="Semana 3",'Semana 3'!W52,IF($E$7="Semana 4",'Semana 4'!W52,FALSE))))</f>
        <v/>
      </c>
      <c r="AS53" s="53" t="str">
        <f>IF($E$7="Semana 1",'Semana 1'!X52,IF($E$7="Semana 2",'Semana 2'!X52,IF($E$7="Semana 3",'Semana 3'!X52,IF($E$7="Semana 4",'Semana 4'!X52,FALSE))))</f>
        <v/>
      </c>
      <c r="AT53" s="52" t="str">
        <f>IF($E$7="Semana 1",'Semana 1'!Y52,IF($E$7="Semana 2",'Semana 2'!Y52,IF($E$7="Semana 3",'Semana 3'!Y52,IF($E$7="Semana 4",'Semana 4'!Y52,FALSE))))</f>
        <v>0.0</v>
      </c>
      <c r="AU53" s="52" t="str">
        <f>IF($E$7="Semana 1",'Semana 1'!Z52,IF($E$7="Semana 2",'Semana 2'!Z52,IF($E$7="Semana 3",'Semana 3'!Z52,IF($E$7="Semana 4",'Semana 4'!Z52,FALSE))))</f>
        <v>-1.0</v>
      </c>
      <c r="AV53" s="52" t="str">
        <f>IF($E$7="Semana 1",'Semana 1'!AA52,IF($E$7="Semana 2",'Semana 2'!AA52,IF($E$7="Semana 3",'Semana 3'!AA52,IF($E$7="Semana 4",'Semana 4'!AA52,FALSE))))</f>
        <v>-1.0</v>
      </c>
      <c r="AW53" s="52" t="str">
        <f>IF($E$7="Semana 1",'Semana 1'!AB52,IF($E$7="Semana 2",'Semana 2'!AB52,IF($E$7="Semana 3",'Semana 3'!AB52,IF($E$7="Semana 4",'Semana 4'!AB52,FALSE))))</f>
        <v>-1.0</v>
      </c>
      <c r="AX53" s="52" t="str">
        <f>IF($E$7="Semana 1",'Semana 1'!AC52,IF($E$7="Semana 2",'Semana 2'!AC52,IF($E$7="Semana 3",'Semana 3'!AC52,IF($E$7="Semana 4",'Semana 4'!AC52,FALSE))))</f>
        <v>-1.0</v>
      </c>
      <c r="AY53" s="52" t="str">
        <f>IF($E$7="Semana 1",'Semana 1'!AD52,IF($E$7="Semana 2",'Semana 2'!AD52,IF($E$7="Semana 3",'Semana 3'!AD52,IF($E$7="Semana 4",'Semana 4'!AD52,FALSE))))</f>
        <v>-5.0</v>
      </c>
    </row>
    <row r="54" ht="15.75" customHeight="1">
      <c r="Y54" s="179" t="str">
        <f t="shared" si="1"/>
        <v>48</v>
      </c>
      <c r="Z54" s="180" t="str">
        <f>IF($E$7="Semana 1",'Semana 1'!E53,IF($E$7="Semana 2",'Semana 2'!E53,IF($E$7="Semana 3",'Semana 3'!E53,IF($E$7="Semana 4",'Semana 4'!E53,FALSE))))</f>
        <v>Anthony Stiven Yocute Aragon</v>
      </c>
      <c r="AA54" s="180" t="str">
        <f>IF($E$7="Semana 1",'Semana 1'!F53,IF($E$7="Semana 2",'Semana 2'!F53,IF($E$7="Semana 3",'Semana 3'!F53,IF($E$7="Semana 4",'Semana 4'!F53,FALSE))))</f>
        <v>Semana 1</v>
      </c>
      <c r="AB54" s="180" t="str">
        <f>IF($E$7="Semana 1",'Semana 1'!G53,IF($E$7="Semana 2",'Semana 2'!G53,IF($E$7="Semana 3",'Semana 3'!G53,IF($E$7="Semana 4",'Semana 4'!G53,FALSE))))</f>
        <v>AGENTE</v>
      </c>
      <c r="AC54" s="51" t="str">
        <f>IF($E$7="Semana 1",'Semana 1'!H53,IF($E$7="Semana 2",'Semana 2'!H53,IF($E$7="Semana 3",'Semana 3'!H53,IF($E$7="Semana 4",'Semana 4'!H53,FALSE))))</f>
        <v>6:30</v>
      </c>
      <c r="AD54" s="51" t="str">
        <f>IF($E$7="Semana 1",'Semana 1'!I53,IF($E$7="Semana 2",'Semana 2'!I53,IF($E$7="Semana 3",'Semana 3'!I53,IF($E$7="Semana 4",'Semana 4'!I53,FALSE))))</f>
        <v>15:30</v>
      </c>
      <c r="AE54" s="51" t="str">
        <f>IF($E$7="Semana 1",'Semana 1'!J53,IF($E$7="Semana 2",'Semana 2'!J53,IF($E$7="Semana 3",'Semana 3'!J53,IF($E$7="Semana 4",'Semana 4'!J53,FALSE))))</f>
        <v>13:00</v>
      </c>
      <c r="AF54" s="51" t="str">
        <f>IF($E$7="Semana 1",'Semana 1'!K53,IF($E$7="Semana 2",'Semana 2'!K53,IF($E$7="Semana 3",'Semana 3'!K53,IF($E$7="Semana 4",'Semana 4'!K53,FALSE))))</f>
        <v>14:00</v>
      </c>
      <c r="AG54" s="51" t="str">
        <f>IF($E$7="Semana 1",'Semana 1'!L53,IF($E$7="Semana 2",'Semana 2'!L53,IF($E$7="Semana 3",'Semana 3'!L53,IF($E$7="Semana 4",'Semana 4'!L53,FALSE))))</f>
        <v>9:30</v>
      </c>
      <c r="AH54" s="51" t="str">
        <f>IF($E$7="Semana 1",'Semana 1'!M53,IF($E$7="Semana 2",'Semana 2'!M53,IF($E$7="Semana 3",'Semana 3'!M53,IF($E$7="Semana 4",'Semana 4'!M53,FALSE))))</f>
        <v>9:50</v>
      </c>
      <c r="AI54" s="51" t="str">
        <f>IF($E$7="Semana 1",'Semana 1'!N53,IF($E$7="Semana 2",'Semana 2'!N53,IF($E$7="Semana 3",'Semana 3'!N53,IF($E$7="Semana 4",'Semana 4'!N53,FALSE))))</f>
        <v>14:30</v>
      </c>
      <c r="AJ54" s="51" t="str">
        <f>IF($E$7="Semana 1",'Semana 1'!O53,IF($E$7="Semana 2",'Semana 2'!O53,IF($E$7="Semana 3",'Semana 3'!O53,IF($E$7="Semana 4",'Semana 4'!O53,FALSE))))</f>
        <v>14:40</v>
      </c>
      <c r="AK54" s="52" t="str">
        <f>IF($E$7="Semana 1",'Semana 1'!P53,IF($E$7="Semana 2",'Semana 2'!P53,IF($E$7="Semana 3",'Semana 3'!P53,IF($E$7="Semana 4",'Semana 4'!P53,FALSE))))</f>
        <v>8.0</v>
      </c>
      <c r="AL54" s="51" t="str">
        <f>IF($E$7="Semana 1",'Semana 1'!Q53,IF($E$7="Semana 2",'Semana 2'!Q53,IF($E$7="Semana 3",'Semana 3'!Q53,IF($E$7="Semana 4",'Semana 4'!Q53,FALSE))))</f>
        <v>7:00</v>
      </c>
      <c r="AM54" s="51" t="str">
        <f>IF($E$7="Semana 1",'Semana 1'!R53,IF($E$7="Semana 2",'Semana 2'!R53,IF($E$7="Semana 3",'Semana 3'!R53,IF($E$7="Semana 4",'Semana 4'!R53,FALSE))))</f>
        <v>12:00</v>
      </c>
      <c r="AN54" s="53" t="str">
        <f>IF($E$7="Semana 1",'Semana 1'!S53,IF($E$7="Semana 2",'Semana 2'!S53,IF($E$7="Semana 3",'Semana 3'!S53,IF($E$7="Semana 4",'Semana 4'!S53,FALSE))))</f>
        <v/>
      </c>
      <c r="AO54" s="53" t="str">
        <f>IF($E$7="Semana 1",'Semana 1'!T53,IF($E$7="Semana 2",'Semana 2'!T53,IF($E$7="Semana 3",'Semana 3'!T53,IF($E$7="Semana 4",'Semana 4'!T53,FALSE))))</f>
        <v/>
      </c>
      <c r="AP54" s="51" t="str">
        <f>IF($E$7="Semana 1",'Semana 1'!U53,IF($E$7="Semana 2",'Semana 2'!U53,IF($E$7="Semana 3",'Semana 3'!U53,IF($E$7="Semana 4",'Semana 4'!U53,FALSE))))</f>
        <v>9:00</v>
      </c>
      <c r="AQ54" s="51" t="str">
        <f>IF($E$7="Semana 1",'Semana 1'!V53,IF($E$7="Semana 2",'Semana 2'!V53,IF($E$7="Semana 3",'Semana 3'!V53,IF($E$7="Semana 4",'Semana 4'!V53,FALSE))))</f>
        <v>9:30</v>
      </c>
      <c r="AR54" s="53" t="str">
        <f>IF($E$7="Semana 1",'Semana 1'!W53,IF($E$7="Semana 2",'Semana 2'!W53,IF($E$7="Semana 3",'Semana 3'!W53,IF($E$7="Semana 4",'Semana 4'!W53,FALSE))))</f>
        <v/>
      </c>
      <c r="AS54" s="53" t="str">
        <f>IF($E$7="Semana 1",'Semana 1'!X53,IF($E$7="Semana 2",'Semana 2'!X53,IF($E$7="Semana 3",'Semana 3'!X53,IF($E$7="Semana 4",'Semana 4'!X53,FALSE))))</f>
        <v/>
      </c>
      <c r="AT54" s="52" t="str">
        <f>IF($E$7="Semana 1",'Semana 1'!Y53,IF($E$7="Semana 2",'Semana 2'!Y53,IF($E$7="Semana 3",'Semana 3'!Y53,IF($E$7="Semana 4",'Semana 4'!Y53,FALSE))))</f>
        <v>5.0</v>
      </c>
      <c r="AU54" s="52" t="str">
        <f>IF($E$7="Semana 1",'Semana 1'!Z53,IF($E$7="Semana 2",'Semana 2'!Z53,IF($E$7="Semana 3",'Semana 3'!Z53,IF($E$7="Semana 4",'Semana 4'!Z53,FALSE))))</f>
        <v>8.0</v>
      </c>
      <c r="AV54" s="52" t="str">
        <f>IF($E$7="Semana 1",'Semana 1'!AA53,IF($E$7="Semana 2",'Semana 2'!AA53,IF($E$7="Semana 3",'Semana 3'!AA53,IF($E$7="Semana 4",'Semana 4'!AA53,FALSE))))</f>
        <v>8.0</v>
      </c>
      <c r="AW54" s="52" t="str">
        <f>IF($E$7="Semana 1",'Semana 1'!AB53,IF($E$7="Semana 2",'Semana 2'!AB53,IF($E$7="Semana 3",'Semana 3'!AB53,IF($E$7="Semana 4",'Semana 4'!AB53,FALSE))))</f>
        <v>8.0</v>
      </c>
      <c r="AX54" s="52" t="str">
        <f>IF($E$7="Semana 1",'Semana 1'!AC53,IF($E$7="Semana 2",'Semana 2'!AC53,IF($E$7="Semana 3",'Semana 3'!AC53,IF($E$7="Semana 4",'Semana 4'!AC53,FALSE))))</f>
        <v>8.0</v>
      </c>
      <c r="AY54" s="52" t="str">
        <f>IF($E$7="Semana 1",'Semana 1'!AD53,IF($E$7="Semana 2",'Semana 2'!AD53,IF($E$7="Semana 3",'Semana 3'!AD53,IF($E$7="Semana 4",'Semana 4'!AD53,FALSE))))</f>
        <v>45.1</v>
      </c>
    </row>
    <row r="55" ht="15.75" customHeight="1">
      <c r="Y55" s="179" t="str">
        <f t="shared" si="1"/>
        <v>49</v>
      </c>
      <c r="Z55" s="180" t="str">
        <f>IF($E$7="Semana 1",'Semana 1'!E54,IF($E$7="Semana 2",'Semana 2'!E54,IF($E$7="Semana 3",'Semana 3'!E54,IF($E$7="Semana 4",'Semana 4'!E54,FALSE))))</f>
        <v>Daylin Paulette Quiroa Quiroa</v>
      </c>
      <c r="AA55" s="180" t="str">
        <f>IF($E$7="Semana 1",'Semana 1'!F54,IF($E$7="Semana 2",'Semana 2'!F54,IF($E$7="Semana 3",'Semana 3'!F54,IF($E$7="Semana 4",'Semana 4'!F54,FALSE))))</f>
        <v>Semana 1</v>
      </c>
      <c r="AB55" s="180" t="str">
        <f>IF($E$7="Semana 1",'Semana 1'!G54,IF($E$7="Semana 2",'Semana 2'!G54,IF($E$7="Semana 3",'Semana 3'!G54,IF($E$7="Semana 4",'Semana 4'!G54,FALSE))))</f>
        <v>AGENTE CIERRE</v>
      </c>
      <c r="AC55" s="51" t="str">
        <f>IF($E$7="Semana 1",'Semana 1'!H54,IF($E$7="Semana 2",'Semana 2'!H54,IF($E$7="Semana 3",'Semana 3'!H54,IF($E$7="Semana 4",'Semana 4'!H54,FALSE))))</f>
        <v>17:00</v>
      </c>
      <c r="AD55" s="51" t="str">
        <f>IF($E$7="Semana 1",'Semana 1'!I54,IF($E$7="Semana 2",'Semana 2'!I54,IF($E$7="Semana 3",'Semana 3'!I54,IF($E$7="Semana 4",'Semana 4'!I54,FALSE))))</f>
        <v>0:00</v>
      </c>
      <c r="AE55" s="51" t="str">
        <f>IF($E$7="Semana 1",'Semana 1'!J54,IF($E$7="Semana 2",'Semana 2'!J54,IF($E$7="Semana 3",'Semana 3'!J54,IF($E$7="Semana 4",'Semana 4'!J54,FALSE))))</f>
        <v>20:00</v>
      </c>
      <c r="AF55" s="51" t="str">
        <f>IF($E$7="Semana 1",'Semana 1'!K54,IF($E$7="Semana 2",'Semana 2'!K54,IF($E$7="Semana 3",'Semana 3'!K54,IF($E$7="Semana 4",'Semana 4'!K54,FALSE))))</f>
        <v>20:30</v>
      </c>
      <c r="AG55" s="51" t="str">
        <f>IF($E$7="Semana 1",'Semana 1'!L54,IF($E$7="Semana 2",'Semana 2'!L54,IF($E$7="Semana 3",'Semana 3'!L54,IF($E$7="Semana 4",'Semana 4'!L54,FALSE))))</f>
        <v>20:30</v>
      </c>
      <c r="AH55" s="51" t="str">
        <f>IF($E$7="Semana 1",'Semana 1'!M54,IF($E$7="Semana 2",'Semana 2'!M54,IF($E$7="Semana 3",'Semana 3'!M54,IF($E$7="Semana 4",'Semana 4'!M54,FALSE))))</f>
        <v>20:50</v>
      </c>
      <c r="AI55" s="51" t="str">
        <f>IF($E$7="Semana 1",'Semana 1'!N54,IF($E$7="Semana 2",'Semana 2'!N54,IF($E$7="Semana 3",'Semana 3'!N54,IF($E$7="Semana 4",'Semana 4'!N54,FALSE))))</f>
        <v>20:50</v>
      </c>
      <c r="AJ55" s="51" t="str">
        <f>IF($E$7="Semana 1",'Semana 1'!O54,IF($E$7="Semana 2",'Semana 2'!O54,IF($E$7="Semana 3",'Semana 3'!O54,IF($E$7="Semana 4",'Semana 4'!O54,FALSE))))</f>
        <v>21:00</v>
      </c>
      <c r="AK55" s="52" t="str">
        <f>IF($E$7="Semana 1",'Semana 1'!P54,IF($E$7="Semana 2",'Semana 2'!P54,IF($E$7="Semana 3",'Semana 3'!P54,IF($E$7="Semana 4",'Semana 4'!P54,FALSE))))</f>
        <v>6.0</v>
      </c>
      <c r="AL55" s="51" t="str">
        <f>IF($E$7="Semana 1",'Semana 1'!Q54,IF($E$7="Semana 2",'Semana 2'!Q54,IF($E$7="Semana 3",'Semana 3'!Q54,IF($E$7="Semana 4",'Semana 4'!Q54,FALSE))))</f>
        <v>17:00</v>
      </c>
      <c r="AM55" s="51" t="str">
        <f>IF($E$7="Semana 1",'Semana 1'!R54,IF($E$7="Semana 2",'Semana 2'!R54,IF($E$7="Semana 3",'Semana 3'!R54,IF($E$7="Semana 4",'Semana 4'!R54,FALSE))))</f>
        <v>0:00</v>
      </c>
      <c r="AN55" s="51" t="str">
        <f>IF($E$7="Semana 1",'Semana 1'!S54,IF($E$7="Semana 2",'Semana 2'!S54,IF($E$7="Semana 3",'Semana 3'!S54,IF($E$7="Semana 4",'Semana 4'!S54,FALSE))))</f>
        <v>20:00</v>
      </c>
      <c r="AO55" s="51" t="str">
        <f>IF($E$7="Semana 1",'Semana 1'!T54,IF($E$7="Semana 2",'Semana 2'!T54,IF($E$7="Semana 3",'Semana 3'!T54,IF($E$7="Semana 4",'Semana 4'!T54,FALSE))))</f>
        <v>20:30</v>
      </c>
      <c r="AP55" s="51" t="str">
        <f>IF($E$7="Semana 1",'Semana 1'!U54,IF($E$7="Semana 2",'Semana 2'!U54,IF($E$7="Semana 3",'Semana 3'!U54,IF($E$7="Semana 4",'Semana 4'!U54,FALSE))))</f>
        <v>20:30</v>
      </c>
      <c r="AQ55" s="51" t="str">
        <f>IF($E$7="Semana 1",'Semana 1'!V54,IF($E$7="Semana 2",'Semana 2'!V54,IF($E$7="Semana 3",'Semana 3'!V54,IF($E$7="Semana 4",'Semana 4'!V54,FALSE))))</f>
        <v>20:50</v>
      </c>
      <c r="AR55" s="51" t="str">
        <f>IF($E$7="Semana 1",'Semana 1'!W54,IF($E$7="Semana 2",'Semana 2'!W54,IF($E$7="Semana 3",'Semana 3'!W54,IF($E$7="Semana 4",'Semana 4'!W54,FALSE))))</f>
        <v>20:50</v>
      </c>
      <c r="AS55" s="51" t="str">
        <f>IF($E$7="Semana 1",'Semana 1'!X54,IF($E$7="Semana 2",'Semana 2'!X54,IF($E$7="Semana 3",'Semana 3'!X54,IF($E$7="Semana 4",'Semana 4'!X54,FALSE))))</f>
        <v>21:00</v>
      </c>
      <c r="AT55" s="52" t="str">
        <f>IF($E$7="Semana 1",'Semana 1'!Y54,IF($E$7="Semana 2",'Semana 2'!Y54,IF($E$7="Semana 3",'Semana 3'!Y54,IF($E$7="Semana 4",'Semana 4'!Y54,FALSE))))</f>
        <v>6.0</v>
      </c>
      <c r="AU55" s="52" t="str">
        <f>IF($E$7="Semana 1",'Semana 1'!Z54,IF($E$7="Semana 2",'Semana 2'!Z54,IF($E$7="Semana 3",'Semana 3'!Z54,IF($E$7="Semana 4",'Semana 4'!Z54,FALSE))))</f>
        <v>6.0</v>
      </c>
      <c r="AV55" s="52" t="str">
        <f>IF($E$7="Semana 1",'Semana 1'!AA54,IF($E$7="Semana 2",'Semana 2'!AA54,IF($E$7="Semana 3",'Semana 3'!AA54,IF($E$7="Semana 4",'Semana 4'!AA54,FALSE))))</f>
        <v>6.0</v>
      </c>
      <c r="AW55" s="52" t="str">
        <f>IF($E$7="Semana 1",'Semana 1'!AB54,IF($E$7="Semana 2",'Semana 2'!AB54,IF($E$7="Semana 3",'Semana 3'!AB54,IF($E$7="Semana 4",'Semana 4'!AB54,FALSE))))</f>
        <v>6.0</v>
      </c>
      <c r="AX55" s="52" t="str">
        <f>IF($E$7="Semana 1",'Semana 1'!AC54,IF($E$7="Semana 2",'Semana 2'!AC54,IF($E$7="Semana 3",'Semana 3'!AC54,IF($E$7="Semana 4",'Semana 4'!AC54,FALSE))))</f>
        <v>6.0</v>
      </c>
      <c r="AY55" s="52" t="str">
        <f>IF($E$7="Semana 1",'Semana 1'!AD54,IF($E$7="Semana 2",'Semana 2'!AD54,IF($E$7="Semana 3",'Semana 3'!AD54,IF($E$7="Semana 4",'Semana 4'!AD54,FALSE))))</f>
        <v>36.0</v>
      </c>
    </row>
    <row r="56" ht="15.75" customHeight="1">
      <c r="Y56" s="179" t="str">
        <f t="shared" si="1"/>
        <v>50</v>
      </c>
      <c r="Z56" s="180" t="str">
        <f>IF($E$7="Semana 1",'Semana 1'!E55,IF($E$7="Semana 2",'Semana 2'!E55,IF($E$7="Semana 3",'Semana 3'!E55,IF($E$7="Semana 4",'Semana 4'!E55,FALSE))))</f>
        <v>-</v>
      </c>
      <c r="AA56" s="180" t="str">
        <f>IF($E$7="Semana 1",'Semana 1'!F55,IF($E$7="Semana 2",'Semana 2'!F55,IF($E$7="Semana 3",'Semana 3'!F55,IF($E$7="Semana 4",'Semana 4'!F55,FALSE))))</f>
        <v>Semana 1</v>
      </c>
      <c r="AB56" s="180" t="str">
        <f>IF($E$7="Semana 1",'Semana 1'!G55,IF($E$7="Semana 2",'Semana 2'!G55,IF($E$7="Semana 3",'Semana 3'!G55,IF($E$7="Semana 4",'Semana 4'!G55,FALSE))))</f>
        <v>-</v>
      </c>
      <c r="AC56" s="51" t="str">
        <f>IF($E$7="Semana 1",'Semana 1'!H55,IF($E$7="Semana 2",'Semana 2'!H55,IF($E$7="Semana 3",'Semana 3'!H55,IF($E$7="Semana 4",'Semana 4'!H55,FALSE))))</f>
        <v/>
      </c>
      <c r="AD56" s="51" t="str">
        <f>IF($E$7="Semana 1",'Semana 1'!I55,IF($E$7="Semana 2",'Semana 2'!I55,IF($E$7="Semana 3",'Semana 3'!I55,IF($E$7="Semana 4",'Semana 4'!I55,FALSE))))</f>
        <v> </v>
      </c>
      <c r="AE56" s="51" t="str">
        <f>IF($E$7="Semana 1",'Semana 1'!J55,IF($E$7="Semana 2",'Semana 2'!J55,IF($E$7="Semana 3",'Semana 3'!J55,IF($E$7="Semana 4",'Semana 4'!J55,FALSE))))</f>
        <v/>
      </c>
      <c r="AF56" s="51" t="str">
        <f>IF($E$7="Semana 1",'Semana 1'!K55,IF($E$7="Semana 2",'Semana 2'!K55,IF($E$7="Semana 3",'Semana 3'!K55,IF($E$7="Semana 4",'Semana 4'!K55,FALSE))))</f>
        <v> - </v>
      </c>
      <c r="AG56" s="51" t="str">
        <f>IF($E$7="Semana 1",'Semana 1'!L55,IF($E$7="Semana 2",'Semana 2'!L55,IF($E$7="Semana 3",'Semana 3'!L55,IF($E$7="Semana 4",'Semana 4'!L55,FALSE))))</f>
        <v/>
      </c>
      <c r="AH56" s="51" t="str">
        <f>IF($E$7="Semana 1",'Semana 1'!M55,IF($E$7="Semana 2",'Semana 2'!M55,IF($E$7="Semana 3",'Semana 3'!M55,IF($E$7="Semana 4",'Semana 4'!M55,FALSE))))</f>
        <v> - </v>
      </c>
      <c r="AI56" s="51" t="str">
        <f>IF($E$7="Semana 1",'Semana 1'!N55,IF($E$7="Semana 2",'Semana 2'!N55,IF($E$7="Semana 3",'Semana 3'!N55,IF($E$7="Semana 4",'Semana 4'!N55,FALSE))))</f>
        <v/>
      </c>
      <c r="AJ56" s="51" t="str">
        <f>IF($E$7="Semana 1",'Semana 1'!O55,IF($E$7="Semana 2",'Semana 2'!O55,IF($E$7="Semana 3",'Semana 3'!O55,IF($E$7="Semana 4",'Semana 4'!O55,FALSE))))</f>
        <v> - </v>
      </c>
      <c r="AK56" s="52" t="str">
        <f>IF($E$7="Semana 1",'Semana 1'!P55,IF($E$7="Semana 2",'Semana 2'!P55,IF($E$7="Semana 3",'Semana 3'!P55,IF($E$7="Semana 4",'Semana 4'!P55,FALSE))))</f>
        <v>-1.0</v>
      </c>
      <c r="AL56" s="51" t="str">
        <f>IF($E$7="Semana 1",'Semana 1'!Q55,IF($E$7="Semana 2",'Semana 2'!Q55,IF($E$7="Semana 3",'Semana 3'!Q55,IF($E$7="Semana 4",'Semana 4'!Q55,FALSE))))</f>
        <v/>
      </c>
      <c r="AM56" s="51" t="str">
        <f>IF($E$7="Semana 1",'Semana 1'!R55,IF($E$7="Semana 2",'Semana 2'!R55,IF($E$7="Semana 3",'Semana 3'!R55,IF($E$7="Semana 4",'Semana 4'!R55,FALSE))))</f>
        <v/>
      </c>
      <c r="AN56" s="53" t="str">
        <f>IF($E$7="Semana 1",'Semana 1'!S55,IF($E$7="Semana 2",'Semana 2'!S55,IF($E$7="Semana 3",'Semana 3'!S55,IF($E$7="Semana 4",'Semana 4'!S55,FALSE))))</f>
        <v/>
      </c>
      <c r="AO56" s="53" t="str">
        <f>IF($E$7="Semana 1",'Semana 1'!T55,IF($E$7="Semana 2",'Semana 2'!T55,IF($E$7="Semana 3",'Semana 3'!T55,IF($E$7="Semana 4",'Semana 4'!T55,FALSE))))</f>
        <v> - </v>
      </c>
      <c r="AP56" s="51" t="str">
        <f>IF($E$7="Semana 1",'Semana 1'!U55,IF($E$7="Semana 2",'Semana 2'!U55,IF($E$7="Semana 3",'Semana 3'!U55,IF($E$7="Semana 4",'Semana 4'!U55,FALSE))))</f>
        <v/>
      </c>
      <c r="AQ56" s="51" t="str">
        <f>IF($E$7="Semana 1",'Semana 1'!V55,IF($E$7="Semana 2",'Semana 2'!V55,IF($E$7="Semana 3",'Semana 3'!V55,IF($E$7="Semana 4",'Semana 4'!V55,FALSE))))</f>
        <v/>
      </c>
      <c r="AR56" s="53" t="str">
        <f>IF($E$7="Semana 1",'Semana 1'!W55,IF($E$7="Semana 2",'Semana 2'!W55,IF($E$7="Semana 3",'Semana 3'!W55,IF($E$7="Semana 4",'Semana 4'!W55,FALSE))))</f>
        <v/>
      </c>
      <c r="AS56" s="53" t="str">
        <f>IF($E$7="Semana 1",'Semana 1'!X55,IF($E$7="Semana 2",'Semana 2'!X55,IF($E$7="Semana 3",'Semana 3'!X55,IF($E$7="Semana 4",'Semana 4'!X55,FALSE))))</f>
        <v/>
      </c>
      <c r="AT56" s="52" t="str">
        <f>IF($E$7="Semana 1",'Semana 1'!Y55,IF($E$7="Semana 2",'Semana 2'!Y55,IF($E$7="Semana 3",'Semana 3'!Y55,IF($E$7="Semana 4",'Semana 4'!Y55,FALSE))))</f>
        <v>0.0</v>
      </c>
      <c r="AU56" s="52" t="str">
        <f>IF($E$7="Semana 1",'Semana 1'!Z55,IF($E$7="Semana 2",'Semana 2'!Z55,IF($E$7="Semana 3",'Semana 3'!Z55,IF($E$7="Semana 4",'Semana 4'!Z55,FALSE))))</f>
        <v>-1.0</v>
      </c>
      <c r="AV56" s="52" t="str">
        <f>IF($E$7="Semana 1",'Semana 1'!AA55,IF($E$7="Semana 2",'Semana 2'!AA55,IF($E$7="Semana 3",'Semana 3'!AA55,IF($E$7="Semana 4",'Semana 4'!AA55,FALSE))))</f>
        <v>-1.0</v>
      </c>
      <c r="AW56" s="52" t="str">
        <f>IF($E$7="Semana 1",'Semana 1'!AB55,IF($E$7="Semana 2",'Semana 2'!AB55,IF($E$7="Semana 3",'Semana 3'!AB55,IF($E$7="Semana 4",'Semana 4'!AB55,FALSE))))</f>
        <v>-1.0</v>
      </c>
      <c r="AX56" s="52" t="str">
        <f>IF($E$7="Semana 1",'Semana 1'!AC55,IF($E$7="Semana 2",'Semana 2'!AC55,IF($E$7="Semana 3",'Semana 3'!AC55,IF($E$7="Semana 4",'Semana 4'!AC55,FALSE))))</f>
        <v>-1.0</v>
      </c>
      <c r="AY56" s="52" t="str">
        <f>IF($E$7="Semana 1",'Semana 1'!AD55,IF($E$7="Semana 2",'Semana 2'!AD55,IF($E$7="Semana 3",'Semana 3'!AD55,IF($E$7="Semana 4",'Semana 4'!AD55,FALSE))))</f>
        <v>-5.0</v>
      </c>
    </row>
    <row r="57" ht="15.75" customHeight="1">
      <c r="Y57" s="179" t="str">
        <f t="shared" si="1"/>
        <v>51</v>
      </c>
      <c r="Z57" s="180" t="str">
        <f>IF($E$7="Semana 1",'Semana 1'!E56,IF($E$7="Semana 2",'Semana 2'!E56,IF($E$7="Semana 3",'Semana 3'!E56,IF($E$7="Semana 4",'Semana 4'!E56,FALSE))))</f>
        <v>Nora Azucena Sanchez Rodriguez</v>
      </c>
      <c r="AA57" s="180" t="str">
        <f>IF($E$7="Semana 1",'Semana 1'!F56,IF($E$7="Semana 2",'Semana 2'!F56,IF($E$7="Semana 3",'Semana 3'!F56,IF($E$7="Semana 4",'Semana 4'!F56,FALSE))))</f>
        <v>Semana 1</v>
      </c>
      <c r="AB57" s="180" t="str">
        <f>IF($E$7="Semana 1",'Semana 1'!G56,IF($E$7="Semana 2",'Semana 2'!G56,IF($E$7="Semana 3",'Semana 3'!G56,IF($E$7="Semana 4",'Semana 4'!G56,FALSE))))</f>
        <v>AGENTE</v>
      </c>
      <c r="AC57" s="51" t="str">
        <f>IF($E$7="Semana 1",'Semana 1'!H56,IF($E$7="Semana 2",'Semana 2'!H56,IF($E$7="Semana 3",'Semana 3'!H56,IF($E$7="Semana 4",'Semana 4'!H56,FALSE))))</f>
        <v>7:00</v>
      </c>
      <c r="AD57" s="51" t="str">
        <f>IF($E$7="Semana 1",'Semana 1'!I56,IF($E$7="Semana 2",'Semana 2'!I56,IF($E$7="Semana 3",'Semana 3'!I56,IF($E$7="Semana 4",'Semana 4'!I56,FALSE))))</f>
        <v>16:00</v>
      </c>
      <c r="AE57" s="51" t="str">
        <f>IF($E$7="Semana 1",'Semana 1'!J56,IF($E$7="Semana 2",'Semana 2'!J56,IF($E$7="Semana 3",'Semana 3'!J56,IF($E$7="Semana 4",'Semana 4'!J56,FALSE))))</f>
        <v>12:30</v>
      </c>
      <c r="AF57" s="51" t="str">
        <f>IF($E$7="Semana 1",'Semana 1'!K56,IF($E$7="Semana 2",'Semana 2'!K56,IF($E$7="Semana 3",'Semana 3'!K56,IF($E$7="Semana 4",'Semana 4'!K56,FALSE))))</f>
        <v>13:30</v>
      </c>
      <c r="AG57" s="51" t="str">
        <f>IF($E$7="Semana 1",'Semana 1'!L56,IF($E$7="Semana 2",'Semana 2'!L56,IF($E$7="Semana 3",'Semana 3'!L56,IF($E$7="Semana 4",'Semana 4'!L56,FALSE))))</f>
        <v>8:30</v>
      </c>
      <c r="AH57" s="51" t="str">
        <f>IF($E$7="Semana 1",'Semana 1'!M56,IF($E$7="Semana 2",'Semana 2'!M56,IF($E$7="Semana 3",'Semana 3'!M56,IF($E$7="Semana 4",'Semana 4'!M56,FALSE))))</f>
        <v>8:50</v>
      </c>
      <c r="AI57" s="51" t="str">
        <f>IF($E$7="Semana 1",'Semana 1'!N56,IF($E$7="Semana 2",'Semana 2'!N56,IF($E$7="Semana 3",'Semana 3'!N56,IF($E$7="Semana 4",'Semana 4'!N56,FALSE))))</f>
        <v>15:45</v>
      </c>
      <c r="AJ57" s="51" t="str">
        <f>IF($E$7="Semana 1",'Semana 1'!O56,IF($E$7="Semana 2",'Semana 2'!O56,IF($E$7="Semana 3",'Semana 3'!O56,IF($E$7="Semana 4",'Semana 4'!O56,FALSE))))</f>
        <v>15:55</v>
      </c>
      <c r="AK57" s="52" t="str">
        <f>IF($E$7="Semana 1",'Semana 1'!P56,IF($E$7="Semana 2",'Semana 2'!P56,IF($E$7="Semana 3",'Semana 3'!P56,IF($E$7="Semana 4",'Semana 4'!P56,FALSE))))</f>
        <v>8.0</v>
      </c>
      <c r="AL57" s="51" t="str">
        <f>IF($E$7="Semana 1",'Semana 1'!Q56,IF($E$7="Semana 2",'Semana 2'!Q56,IF($E$7="Semana 3",'Semana 3'!Q56,IF($E$7="Semana 4",'Semana 4'!Q56,FALSE))))</f>
        <v>10:00</v>
      </c>
      <c r="AM57" s="51" t="str">
        <f>IF($E$7="Semana 1",'Semana 1'!R56,IF($E$7="Semana 2",'Semana 2'!R56,IF($E$7="Semana 3",'Semana 3'!R56,IF($E$7="Semana 4",'Semana 4'!R56,FALSE))))</f>
        <v>15:00</v>
      </c>
      <c r="AN57" s="53" t="str">
        <f>IF($E$7="Semana 1",'Semana 1'!S56,IF($E$7="Semana 2",'Semana 2'!S56,IF($E$7="Semana 3",'Semana 3'!S56,IF($E$7="Semana 4",'Semana 4'!S56,FALSE))))</f>
        <v/>
      </c>
      <c r="AO57" s="53" t="str">
        <f>IF($E$7="Semana 1",'Semana 1'!T56,IF($E$7="Semana 2",'Semana 2'!T56,IF($E$7="Semana 3",'Semana 3'!T56,IF($E$7="Semana 4",'Semana 4'!T56,FALSE))))</f>
        <v/>
      </c>
      <c r="AP57" s="51" t="str">
        <f>IF($E$7="Semana 1",'Semana 1'!U56,IF($E$7="Semana 2",'Semana 2'!U56,IF($E$7="Semana 3",'Semana 3'!U56,IF($E$7="Semana 4",'Semana 4'!U56,FALSE))))</f>
        <v>13:30</v>
      </c>
      <c r="AQ57" s="51" t="str">
        <f>IF($E$7="Semana 1",'Semana 1'!V56,IF($E$7="Semana 2",'Semana 2'!V56,IF($E$7="Semana 3",'Semana 3'!V56,IF($E$7="Semana 4",'Semana 4'!V56,FALSE))))</f>
        <v>14:00</v>
      </c>
      <c r="AR57" s="53" t="str">
        <f>IF($E$7="Semana 1",'Semana 1'!W56,IF($E$7="Semana 2",'Semana 2'!W56,IF($E$7="Semana 3",'Semana 3'!W56,IF($E$7="Semana 4",'Semana 4'!W56,FALSE))))</f>
        <v/>
      </c>
      <c r="AS57" s="53" t="str">
        <f>IF($E$7="Semana 1",'Semana 1'!X56,IF($E$7="Semana 2",'Semana 2'!X56,IF($E$7="Semana 3",'Semana 3'!X56,IF($E$7="Semana 4",'Semana 4'!X56,FALSE))))</f>
        <v/>
      </c>
      <c r="AT57" s="52" t="str">
        <f>IF($E$7="Semana 1",'Semana 1'!Y56,IF($E$7="Semana 2",'Semana 2'!Y56,IF($E$7="Semana 3",'Semana 3'!Y56,IF($E$7="Semana 4",'Semana 4'!Y56,FALSE))))</f>
        <v>5.0</v>
      </c>
      <c r="AU57" s="52" t="str">
        <f>IF($E$7="Semana 1",'Semana 1'!Z56,IF($E$7="Semana 2",'Semana 2'!Z56,IF($E$7="Semana 3",'Semana 3'!Z56,IF($E$7="Semana 4",'Semana 4'!Z56,FALSE))))</f>
        <v>8.0</v>
      </c>
      <c r="AV57" s="52" t="str">
        <f>IF($E$7="Semana 1",'Semana 1'!AA56,IF($E$7="Semana 2",'Semana 2'!AA56,IF($E$7="Semana 3",'Semana 3'!AA56,IF($E$7="Semana 4",'Semana 4'!AA56,FALSE))))</f>
        <v>8.0</v>
      </c>
      <c r="AW57" s="52" t="str">
        <f>IF($E$7="Semana 1",'Semana 1'!AB56,IF($E$7="Semana 2",'Semana 2'!AB56,IF($E$7="Semana 3",'Semana 3'!AB56,IF($E$7="Semana 4",'Semana 4'!AB56,FALSE))))</f>
        <v>8.0</v>
      </c>
      <c r="AX57" s="52" t="str">
        <f>IF($E$7="Semana 1",'Semana 1'!AC56,IF($E$7="Semana 2",'Semana 2'!AC56,IF($E$7="Semana 3",'Semana 3'!AC56,IF($E$7="Semana 4",'Semana 4'!AC56,FALSE))))</f>
        <v>8.0</v>
      </c>
      <c r="AY57" s="52" t="str">
        <f>IF($E$7="Semana 1",'Semana 1'!AD56,IF($E$7="Semana 2",'Semana 2'!AD56,IF($E$7="Semana 3",'Semana 3'!AD56,IF($E$7="Semana 4",'Semana 4'!AD56,FALSE))))</f>
        <v>45.1</v>
      </c>
    </row>
    <row r="58" ht="15.75" customHeight="1">
      <c r="Y58" s="179" t="str">
        <f t="shared" si="1"/>
        <v>52</v>
      </c>
      <c r="Z58" s="180" t="str">
        <f>IF($E$7="Semana 1",'Semana 1'!E57,IF($E$7="Semana 2",'Semana 2'!E57,IF($E$7="Semana 3",'Semana 3'!E57,IF($E$7="Semana 4",'Semana 4'!E57,FALSE))))</f>
        <v>Dorian Estefany Sit Santos</v>
      </c>
      <c r="AA58" s="180" t="str">
        <f>IF($E$7="Semana 1",'Semana 1'!F57,IF($E$7="Semana 2",'Semana 2'!F57,IF($E$7="Semana 3",'Semana 3'!F57,IF($E$7="Semana 4",'Semana 4'!F57,FALSE))))</f>
        <v>Semana 1</v>
      </c>
      <c r="AB58" s="180" t="str">
        <f>IF($E$7="Semana 1",'Semana 1'!G57,IF($E$7="Semana 2",'Semana 2'!G57,IF($E$7="Semana 3",'Semana 3'!G57,IF($E$7="Semana 4",'Semana 4'!G57,FALSE))))</f>
        <v>AGENTE RM</v>
      </c>
      <c r="AC58" s="51" t="str">
        <f>IF($E$7="Semana 1",'Semana 1'!H57,IF($E$7="Semana 2",'Semana 2'!H57,IF($E$7="Semana 3",'Semana 3'!H57,IF($E$7="Semana 4",'Semana 4'!H57,FALSE))))</f>
        <v>8:30</v>
      </c>
      <c r="AD58" s="51" t="str">
        <f>IF($E$7="Semana 1",'Semana 1'!I57,IF($E$7="Semana 2",'Semana 2'!I57,IF($E$7="Semana 3",'Semana 3'!I57,IF($E$7="Semana 4",'Semana 4'!I57,FALSE))))</f>
        <v>17:30</v>
      </c>
      <c r="AE58" s="51" t="str">
        <f>IF($E$7="Semana 1",'Semana 1'!J57,IF($E$7="Semana 2",'Semana 2'!J57,IF($E$7="Semana 3",'Semana 3'!J57,IF($E$7="Semana 4",'Semana 4'!J57,FALSE))))</f>
        <v>14:00</v>
      </c>
      <c r="AF58" s="51" t="str">
        <f>IF($E$7="Semana 1",'Semana 1'!K57,IF($E$7="Semana 2",'Semana 2'!K57,IF($E$7="Semana 3",'Semana 3'!K57,IF($E$7="Semana 4",'Semana 4'!K57,FALSE))))</f>
        <v>15:00</v>
      </c>
      <c r="AG58" s="51" t="str">
        <f>IF($E$7="Semana 1",'Semana 1'!L57,IF($E$7="Semana 2",'Semana 2'!L57,IF($E$7="Semana 3",'Semana 3'!L57,IF($E$7="Semana 4",'Semana 4'!L57,FALSE))))</f>
        <v>9:40</v>
      </c>
      <c r="AH58" s="51" t="str">
        <f>IF($E$7="Semana 1",'Semana 1'!M57,IF($E$7="Semana 2",'Semana 2'!M57,IF($E$7="Semana 3",'Semana 3'!M57,IF($E$7="Semana 4",'Semana 4'!M57,FALSE))))</f>
        <v>10:00</v>
      </c>
      <c r="AI58" s="51" t="str">
        <f>IF($E$7="Semana 1",'Semana 1'!N57,IF($E$7="Semana 2",'Semana 2'!N57,IF($E$7="Semana 3",'Semana 3'!N57,IF($E$7="Semana 4",'Semana 4'!N57,FALSE))))</f>
        <v>15:30</v>
      </c>
      <c r="AJ58" s="51" t="str">
        <f>IF($E$7="Semana 1",'Semana 1'!O57,IF($E$7="Semana 2",'Semana 2'!O57,IF($E$7="Semana 3",'Semana 3'!O57,IF($E$7="Semana 4",'Semana 4'!O57,FALSE))))</f>
        <v>15:40</v>
      </c>
      <c r="AK58" s="52" t="str">
        <f>IF($E$7="Semana 1",'Semana 1'!P57,IF($E$7="Semana 2",'Semana 2'!P57,IF($E$7="Semana 3",'Semana 3'!P57,IF($E$7="Semana 4",'Semana 4'!P57,FALSE))))</f>
        <v>8.0</v>
      </c>
      <c r="AL58" s="51" t="str">
        <f>IF($E$7="Semana 1",'Semana 1'!Q57,IF($E$7="Semana 2",'Semana 2'!Q57,IF($E$7="Semana 3",'Semana 3'!Q57,IF($E$7="Semana 4",'Semana 4'!Q57,FALSE))))</f>
        <v>8:00</v>
      </c>
      <c r="AM58" s="51" t="str">
        <f>IF($E$7="Semana 1",'Semana 1'!R57,IF($E$7="Semana 2",'Semana 2'!R57,IF($E$7="Semana 3",'Semana 3'!R57,IF($E$7="Semana 4",'Semana 4'!R57,FALSE))))</f>
        <v>13:00</v>
      </c>
      <c r="AN58" s="53" t="str">
        <f>IF($E$7="Semana 1",'Semana 1'!S57,IF($E$7="Semana 2",'Semana 2'!S57,IF($E$7="Semana 3",'Semana 3'!S57,IF($E$7="Semana 4",'Semana 4'!S57,FALSE))))</f>
        <v/>
      </c>
      <c r="AO58" s="53" t="str">
        <f>IF($E$7="Semana 1",'Semana 1'!T57,IF($E$7="Semana 2",'Semana 2'!T57,IF($E$7="Semana 3",'Semana 3'!T57,IF($E$7="Semana 4",'Semana 4'!T57,FALSE))))</f>
        <v/>
      </c>
      <c r="AP58" s="51" t="str">
        <f>IF($E$7="Semana 1",'Semana 1'!U57,IF($E$7="Semana 2",'Semana 2'!U57,IF($E$7="Semana 3",'Semana 3'!U57,IF($E$7="Semana 4",'Semana 4'!U57,FALSE))))</f>
        <v>9:00</v>
      </c>
      <c r="AQ58" s="51" t="str">
        <f>IF($E$7="Semana 1",'Semana 1'!V57,IF($E$7="Semana 2",'Semana 2'!V57,IF($E$7="Semana 3",'Semana 3'!V57,IF($E$7="Semana 4",'Semana 4'!V57,FALSE))))</f>
        <v>9:30</v>
      </c>
      <c r="AR58" s="53" t="str">
        <f>IF($E$7="Semana 1",'Semana 1'!W57,IF($E$7="Semana 2",'Semana 2'!W57,IF($E$7="Semana 3",'Semana 3'!W57,IF($E$7="Semana 4",'Semana 4'!W57,FALSE))))</f>
        <v/>
      </c>
      <c r="AS58" s="53" t="str">
        <f>IF($E$7="Semana 1",'Semana 1'!X57,IF($E$7="Semana 2",'Semana 2'!X57,IF($E$7="Semana 3",'Semana 3'!X57,IF($E$7="Semana 4",'Semana 4'!X57,FALSE))))</f>
        <v/>
      </c>
      <c r="AT58" s="52" t="str">
        <f>IF($E$7="Semana 1",'Semana 1'!Y57,IF($E$7="Semana 2",'Semana 2'!Y57,IF($E$7="Semana 3",'Semana 3'!Y57,IF($E$7="Semana 4",'Semana 4'!Y57,FALSE))))</f>
        <v>5.0</v>
      </c>
      <c r="AU58" s="52" t="str">
        <f>IF($E$7="Semana 1",'Semana 1'!Z57,IF($E$7="Semana 2",'Semana 2'!Z57,IF($E$7="Semana 3",'Semana 3'!Z57,IF($E$7="Semana 4",'Semana 4'!Z57,FALSE))))</f>
        <v>8.0</v>
      </c>
      <c r="AV58" s="52" t="str">
        <f>IF($E$7="Semana 1",'Semana 1'!AA57,IF($E$7="Semana 2",'Semana 2'!AA57,IF($E$7="Semana 3",'Semana 3'!AA57,IF($E$7="Semana 4",'Semana 4'!AA57,FALSE))))</f>
        <v>8.0</v>
      </c>
      <c r="AW58" s="52" t="str">
        <f>IF($E$7="Semana 1",'Semana 1'!AB57,IF($E$7="Semana 2",'Semana 2'!AB57,IF($E$7="Semana 3",'Semana 3'!AB57,IF($E$7="Semana 4",'Semana 4'!AB57,FALSE))))</f>
        <v>8.0</v>
      </c>
      <c r="AX58" s="52" t="str">
        <f>IF($E$7="Semana 1",'Semana 1'!AC57,IF($E$7="Semana 2",'Semana 2'!AC57,IF($E$7="Semana 3",'Semana 3'!AC57,IF($E$7="Semana 4",'Semana 4'!AC57,FALSE))))</f>
        <v>8.0</v>
      </c>
      <c r="AY58" s="52" t="str">
        <f>IF($E$7="Semana 1",'Semana 1'!AD57,IF($E$7="Semana 2",'Semana 2'!AD57,IF($E$7="Semana 3",'Semana 3'!AD57,IF($E$7="Semana 4",'Semana 4'!AD57,FALSE))))</f>
        <v>45.1</v>
      </c>
    </row>
    <row r="59" ht="15.75" customHeight="1">
      <c r="Y59" s="179" t="str">
        <f t="shared" si="1"/>
        <v>53</v>
      </c>
      <c r="Z59" s="180" t="str">
        <f>IF($E$7="Semana 1",'Semana 1'!E58,IF($E$7="Semana 2",'Semana 2'!E58,IF($E$7="Semana 3",'Semana 3'!E58,IF($E$7="Semana 4",'Semana 4'!E58,FALSE))))</f>
        <v>Benjamin Max Israel Boc Vicente</v>
      </c>
      <c r="AA59" s="180" t="str">
        <f>IF($E$7="Semana 1",'Semana 1'!F58,IF($E$7="Semana 2",'Semana 2'!F58,IF($E$7="Semana 3",'Semana 3'!F58,IF($E$7="Semana 4",'Semana 4'!F58,FALSE))))</f>
        <v>Semana 1</v>
      </c>
      <c r="AB59" s="180" t="str">
        <f>IF($E$7="Semana 1",'Semana 1'!G58,IF($E$7="Semana 2",'Semana 2'!G58,IF($E$7="Semana 3",'Semana 3'!G58,IF($E$7="Semana 4",'Semana 4'!G58,FALSE))))</f>
        <v>AGENTE</v>
      </c>
      <c r="AC59" s="51" t="str">
        <f>IF($E$7="Semana 1",'Semana 1'!H58,IF($E$7="Semana 2",'Semana 2'!H58,IF($E$7="Semana 3",'Semana 3'!H58,IF($E$7="Semana 4",'Semana 4'!H58,FALSE))))</f>
        <v>8:00</v>
      </c>
      <c r="AD59" s="51" t="str">
        <f>IF($E$7="Semana 1",'Semana 1'!I58,IF($E$7="Semana 2",'Semana 2'!I58,IF($E$7="Semana 3",'Semana 3'!I58,IF($E$7="Semana 4",'Semana 4'!I58,FALSE))))</f>
        <v>17:00</v>
      </c>
      <c r="AE59" s="51" t="str">
        <f>IF($E$7="Semana 1",'Semana 1'!J58,IF($E$7="Semana 2",'Semana 2'!J58,IF($E$7="Semana 3",'Semana 3'!J58,IF($E$7="Semana 4",'Semana 4'!J58,FALSE))))</f>
        <v>15:00</v>
      </c>
      <c r="AF59" s="51" t="str">
        <f>IF($E$7="Semana 1",'Semana 1'!K58,IF($E$7="Semana 2",'Semana 2'!K58,IF($E$7="Semana 3",'Semana 3'!K58,IF($E$7="Semana 4",'Semana 4'!K58,FALSE))))</f>
        <v>16:00</v>
      </c>
      <c r="AG59" s="51" t="str">
        <f>IF($E$7="Semana 1",'Semana 1'!L58,IF($E$7="Semana 2",'Semana 2'!L58,IF($E$7="Semana 3",'Semana 3'!L58,IF($E$7="Semana 4",'Semana 4'!L58,FALSE))))</f>
        <v>10:00</v>
      </c>
      <c r="AH59" s="51" t="str">
        <f>IF($E$7="Semana 1",'Semana 1'!M58,IF($E$7="Semana 2",'Semana 2'!M58,IF($E$7="Semana 3",'Semana 3'!M58,IF($E$7="Semana 4",'Semana 4'!M58,FALSE))))</f>
        <v>10:20</v>
      </c>
      <c r="AI59" s="51" t="str">
        <f>IF($E$7="Semana 1",'Semana 1'!N58,IF($E$7="Semana 2",'Semana 2'!N58,IF($E$7="Semana 3",'Semana 3'!N58,IF($E$7="Semana 4",'Semana 4'!N58,FALSE))))</f>
        <v>4:30</v>
      </c>
      <c r="AJ59" s="51" t="str">
        <f>IF($E$7="Semana 1",'Semana 1'!O58,IF($E$7="Semana 2",'Semana 2'!O58,IF($E$7="Semana 3",'Semana 3'!O58,IF($E$7="Semana 4",'Semana 4'!O58,FALSE))))</f>
        <v>4:40</v>
      </c>
      <c r="AK59" s="52" t="str">
        <f>IF($E$7="Semana 1",'Semana 1'!P58,IF($E$7="Semana 2",'Semana 2'!P58,IF($E$7="Semana 3",'Semana 3'!P58,IF($E$7="Semana 4",'Semana 4'!P58,FALSE))))</f>
        <v>8.0</v>
      </c>
      <c r="AL59" s="51" t="str">
        <f>IF($E$7="Semana 1",'Semana 1'!Q58,IF($E$7="Semana 2",'Semana 2'!Q58,IF($E$7="Semana 3",'Semana 3'!Q58,IF($E$7="Semana 4",'Semana 4'!Q58,FALSE))))</f>
        <v>8:00</v>
      </c>
      <c r="AM59" s="51" t="str">
        <f>IF($E$7="Semana 1",'Semana 1'!R58,IF($E$7="Semana 2",'Semana 2'!R58,IF($E$7="Semana 3",'Semana 3'!R58,IF($E$7="Semana 4",'Semana 4'!R58,FALSE))))</f>
        <v>13:00</v>
      </c>
      <c r="AN59" s="51" t="str">
        <f>IF($E$7="Semana 1",'Semana 1'!S58,IF($E$7="Semana 2",'Semana 2'!S58,IF($E$7="Semana 3",'Semana 3'!S58,IF($E$7="Semana 4",'Semana 4'!S58,FALSE))))</f>
        <v/>
      </c>
      <c r="AO59" s="51" t="str">
        <f>IF($E$7="Semana 1",'Semana 1'!T58,IF($E$7="Semana 2",'Semana 2'!T58,IF($E$7="Semana 3",'Semana 3'!T58,IF($E$7="Semana 4",'Semana 4'!T58,FALSE))))</f>
        <v/>
      </c>
      <c r="AP59" s="51" t="str">
        <f>IF($E$7="Semana 1",'Semana 1'!U58,IF($E$7="Semana 2",'Semana 2'!U58,IF($E$7="Semana 3",'Semana 3'!U58,IF($E$7="Semana 4",'Semana 4'!U58,FALSE))))</f>
        <v>8:30</v>
      </c>
      <c r="AQ59" s="51" t="str">
        <f>IF($E$7="Semana 1",'Semana 1'!V58,IF($E$7="Semana 2",'Semana 2'!V58,IF($E$7="Semana 3",'Semana 3'!V58,IF($E$7="Semana 4",'Semana 4'!V58,FALSE))))</f>
        <v>9:00</v>
      </c>
      <c r="AR59" s="51" t="str">
        <f>IF($E$7="Semana 1",'Semana 1'!W58,IF($E$7="Semana 2",'Semana 2'!W58,IF($E$7="Semana 3",'Semana 3'!W58,IF($E$7="Semana 4",'Semana 4'!W58,FALSE))))</f>
        <v/>
      </c>
      <c r="AS59" s="51" t="str">
        <f>IF($E$7="Semana 1",'Semana 1'!X58,IF($E$7="Semana 2",'Semana 2'!X58,IF($E$7="Semana 3",'Semana 3'!X58,IF($E$7="Semana 4",'Semana 4'!X58,FALSE))))</f>
        <v/>
      </c>
      <c r="AT59" s="52" t="str">
        <f>IF($E$7="Semana 1",'Semana 1'!Y58,IF($E$7="Semana 2",'Semana 2'!Y58,IF($E$7="Semana 3",'Semana 3'!Y58,IF($E$7="Semana 4",'Semana 4'!Y58,FALSE))))</f>
        <v>5.0</v>
      </c>
      <c r="AU59" s="52" t="str">
        <f>IF($E$7="Semana 1",'Semana 1'!Z58,IF($E$7="Semana 2",'Semana 2'!Z58,IF($E$7="Semana 3",'Semana 3'!Z58,IF($E$7="Semana 4",'Semana 4'!Z58,FALSE))))</f>
        <v>8.0</v>
      </c>
      <c r="AV59" s="52" t="str">
        <f>IF($E$7="Semana 1",'Semana 1'!AA58,IF($E$7="Semana 2",'Semana 2'!AA58,IF($E$7="Semana 3",'Semana 3'!AA58,IF($E$7="Semana 4",'Semana 4'!AA58,FALSE))))</f>
        <v>8.0</v>
      </c>
      <c r="AW59" s="52" t="str">
        <f>IF($E$7="Semana 1",'Semana 1'!AB58,IF($E$7="Semana 2",'Semana 2'!AB58,IF($E$7="Semana 3",'Semana 3'!AB58,IF($E$7="Semana 4",'Semana 4'!AB58,FALSE))))</f>
        <v>8.0</v>
      </c>
      <c r="AX59" s="52" t="str">
        <f>IF($E$7="Semana 1",'Semana 1'!AC58,IF($E$7="Semana 2",'Semana 2'!AC58,IF($E$7="Semana 3",'Semana 3'!AC58,IF($E$7="Semana 4",'Semana 4'!AC58,FALSE))))</f>
        <v>8.0</v>
      </c>
      <c r="AY59" s="52" t="str">
        <f>IF($E$7="Semana 1",'Semana 1'!AD58,IF($E$7="Semana 2",'Semana 2'!AD58,IF($E$7="Semana 3",'Semana 3'!AD58,IF($E$7="Semana 4",'Semana 4'!AD58,FALSE))))</f>
        <v>45.1</v>
      </c>
    </row>
    <row r="60" ht="15.75" customHeight="1">
      <c r="Y60" s="179" t="str">
        <f t="shared" si="1"/>
        <v>54</v>
      </c>
      <c r="Z60" s="180" t="str">
        <f>IF($E$7="Semana 1",'Semana 1'!E104,IF($E$7="Semana 2",'Semana 2'!E82,IF($E$7="Semana 3",'Semana 3'!E82,IF($E$7="Semana 4",'Semana 4'!E82,FALSE))))</f>
        <v>Ventura Glenda Paola Echeveria Perez</v>
      </c>
      <c r="AA60" s="180" t="str">
        <f>IF($E$7="Semana 1",'Semana 1'!F104,IF($E$7="Semana 2",'Semana 2'!F82,IF($E$7="Semana 3",'Semana 3'!F82,IF($E$7="Semana 4",'Semana 4'!F82,FALSE))))</f>
        <v>Semana 1</v>
      </c>
      <c r="AB60" s="180" t="str">
        <f>IF($E$7="Semana 1",'Semana 1'!G104,IF($E$7="Semana 2",'Semana 2'!G82,IF($E$7="Semana 3",'Semana 3'!G82,IF($E$7="Semana 4",'Semana 4'!G82,FALSE))))</f>
        <v>AGENTE RM</v>
      </c>
      <c r="AC60" s="51" t="str">
        <f>IF($E$7="Semana 1",'Semana 1'!H104,IF($E$7="Semana 2",'Semana 2'!H82,IF($E$7="Semana 3",'Semana 3'!H82,IF($E$7="Semana 4",'Semana 4'!H82,FALSE))))</f>
        <v>8:00</v>
      </c>
      <c r="AD60" s="51" t="str">
        <f>IF($E$7="Semana 1",'Semana 1'!I104,IF($E$7="Semana 2",'Semana 2'!I82,IF($E$7="Semana 3",'Semana 3'!I82,IF($E$7="Semana 4",'Semana 4'!I82,FALSE))))</f>
        <v>17:00</v>
      </c>
      <c r="AE60" s="51" t="str">
        <f>IF($E$7="Semana 1",'Semana 1'!J104,IF($E$7="Semana 2",'Semana 2'!J82,IF($E$7="Semana 3",'Semana 3'!J82,IF($E$7="Semana 4",'Semana 4'!J82,FALSE))))</f>
        <v>13:00</v>
      </c>
      <c r="AF60" s="51" t="str">
        <f>IF($E$7="Semana 1",'Semana 1'!K104,IF($E$7="Semana 2",'Semana 2'!K82,IF($E$7="Semana 3",'Semana 3'!K82,IF($E$7="Semana 4",'Semana 4'!K82,FALSE))))</f>
        <v>1:00</v>
      </c>
      <c r="AG60" s="51" t="str">
        <f>IF($E$7="Semana 1",'Semana 1'!L104,IF($E$7="Semana 2",'Semana 2'!L82,IF($E$7="Semana 3",'Semana 3'!L82,IF($E$7="Semana 4",'Semana 4'!L82,FALSE))))</f>
        <v>9:30</v>
      </c>
      <c r="AH60" s="51" t="str">
        <f>IF($E$7="Semana 1",'Semana 1'!M104,IF($E$7="Semana 2",'Semana 2'!M82,IF($E$7="Semana 3",'Semana 3'!M82,IF($E$7="Semana 4",'Semana 4'!M82,FALSE))))</f>
        <v>0:20</v>
      </c>
      <c r="AI60" s="51" t="str">
        <f>IF($E$7="Semana 1",'Semana 1'!N104,IF($E$7="Semana 2",'Semana 2'!N82,IF($E$7="Semana 3",'Semana 3'!N82,IF($E$7="Semana 4",'Semana 4'!N82,FALSE))))</f>
        <v>17:30</v>
      </c>
      <c r="AJ60" s="51" t="str">
        <f>IF($E$7="Semana 1",'Semana 1'!O104,IF($E$7="Semana 2",'Semana 2'!O82,IF($E$7="Semana 3",'Semana 3'!O82,IF($E$7="Semana 4",'Semana 4'!O82,FALSE))))</f>
        <v>0:10</v>
      </c>
      <c r="AK60" s="52" t="str">
        <f>IF($E$7="Semana 1",'Semana 1'!P104,IF($E$7="Semana 2",'Semana 2'!P82,IF($E$7="Semana 3",'Semana 3'!P82,IF($E$7="Semana 4",'Semana 4'!P82,FALSE))))</f>
        <v>8.0</v>
      </c>
      <c r="AL60" s="51" t="str">
        <f>IF($E$7="Semana 1",'Semana 1'!Q104,IF($E$7="Semana 2",'Semana 2'!Q82,IF($E$7="Semana 3",'Semana 3'!Q82,IF($E$7="Semana 4",'Semana 4'!Q82,FALSE))))</f>
        <v>8:00</v>
      </c>
      <c r="AM60" s="51" t="str">
        <f>IF($E$7="Semana 1",'Semana 1'!R104,IF($E$7="Semana 2",'Semana 2'!R82,IF($E$7="Semana 3",'Semana 3'!R82,IF($E$7="Semana 4",'Semana 4'!R82,FALSE))))</f>
        <v>13:00</v>
      </c>
      <c r="AN60" s="53" t="str">
        <f>IF($E$7="Semana 1",'Semana 1'!S104,IF($E$7="Semana 2",'Semana 2'!S82,IF($E$7="Semana 3",'Semana 3'!S82,IF($E$7="Semana 4",'Semana 4'!S82,FALSE))))</f>
        <v/>
      </c>
      <c r="AO60" s="53" t="str">
        <f>IF($E$7="Semana 1",'Semana 1'!T104,IF($E$7="Semana 2",'Semana 2'!T82,IF($E$7="Semana 3",'Semana 3'!T82,IF($E$7="Semana 4",'Semana 4'!T82,FALSE))))</f>
        <v/>
      </c>
      <c r="AP60" s="51" t="str">
        <f>IF($E$7="Semana 1",'Semana 1'!U104,IF($E$7="Semana 2",'Semana 2'!U82,IF($E$7="Semana 3",'Semana 3'!U82,IF($E$7="Semana 4",'Semana 4'!U82,FALSE))))</f>
        <v>9:00</v>
      </c>
      <c r="AQ60" s="51" t="str">
        <f>IF($E$7="Semana 1",'Semana 1'!V104,IF($E$7="Semana 2",'Semana 2'!V82,IF($E$7="Semana 3",'Semana 3'!V82,IF($E$7="Semana 4",'Semana 4'!V82,FALSE))))</f>
        <v>9:30</v>
      </c>
      <c r="AR60" s="53" t="str">
        <f>IF($E$7="Semana 1",'Semana 1'!W104,IF($E$7="Semana 2",'Semana 2'!W82,IF($E$7="Semana 3",'Semana 3'!W82,IF($E$7="Semana 4",'Semana 4'!W82,FALSE))))</f>
        <v/>
      </c>
      <c r="AS60" s="53" t="str">
        <f>IF($E$7="Semana 1",'Semana 1'!X104,IF($E$7="Semana 2",'Semana 2'!X82,IF($E$7="Semana 3",'Semana 3'!X82,IF($E$7="Semana 4",'Semana 4'!X82,FALSE))))</f>
        <v/>
      </c>
      <c r="AT60" s="52" t="str">
        <f>IF($E$7="Semana 1",'Semana 1'!Y104,IF($E$7="Semana 2",'Semana 2'!Y82,IF($E$7="Semana 3",'Semana 3'!Y82,IF($E$7="Semana 4",'Semana 4'!Y82,FALSE))))</f>
        <v>5.0</v>
      </c>
      <c r="AU60" s="52" t="str">
        <f>IF($E$7="Semana 1",'Semana 1'!Z104,IF($E$7="Semana 2",'Semana 2'!Z82,IF($E$7="Semana 3",'Semana 3'!Z82,IF($E$7="Semana 4",'Semana 4'!Z82,FALSE))))</f>
        <v>8.0</v>
      </c>
      <c r="AV60" s="52" t="str">
        <f>IF($E$7="Semana 1",'Semana 1'!AA104,IF($E$7="Semana 2",'Semana 2'!AA82,IF($E$7="Semana 3",'Semana 3'!AA82,IF($E$7="Semana 4",'Semana 4'!AA82,FALSE))))</f>
        <v>8.0</v>
      </c>
      <c r="AW60" s="52" t="str">
        <f>IF($E$7="Semana 1",'Semana 1'!AB104,IF($E$7="Semana 2",'Semana 2'!AB82,IF($E$7="Semana 3",'Semana 3'!AB82,IF($E$7="Semana 4",'Semana 4'!AB82,FALSE))))</f>
        <v>8.0</v>
      </c>
      <c r="AX60" s="52" t="str">
        <f>IF($E$7="Semana 1",'Semana 1'!AC104,IF($E$7="Semana 2",'Semana 2'!AC82,IF($E$7="Semana 3",'Semana 3'!AC82,IF($E$7="Semana 4",'Semana 4'!AC82,FALSE))))</f>
        <v>8.0</v>
      </c>
      <c r="AY60" s="52" t="str">
        <f>IF($E$7="Semana 1",'Semana 1'!AD83,IF($E$7="Semana 2",'Semana 2'!AD59,IF($E$7="Semana 3",'Semana 3'!AD59,IF($E$7="Semana 4",'Semana 4'!AD59,FALSE))))</f>
        <v>45.1</v>
      </c>
    </row>
    <row r="61" ht="15.75" customHeight="1">
      <c r="Y61" s="179" t="str">
        <f t="shared" si="1"/>
        <v>55</v>
      </c>
      <c r="Z61" s="180" t="str">
        <f>IF($E$7="Semana 1",'Semana 1'!E105,IF($E$7="Semana 2",'Semana 2'!E83,IF($E$7="Semana 3",'Semana 3'!E83,IF($E$7="Semana 4",'Semana 4'!E83,FALSE))))</f>
        <v>Oscar Rene Ovalle Letran</v>
      </c>
      <c r="AA61" s="180" t="str">
        <f>IF($E$7="Semana 1",'Semana 1'!F105,IF($E$7="Semana 2",'Semana 2'!F83,IF($E$7="Semana 3",'Semana 3'!F83,IF($E$7="Semana 4",'Semana 4'!F83,FALSE))))</f>
        <v>Semana 1</v>
      </c>
      <c r="AB61" s="180" t="str">
        <f>IF($E$7="Semana 1",'Semana 1'!G105,IF($E$7="Semana 2",'Semana 2'!G83,IF($E$7="Semana 3",'Semana 3'!G83,IF($E$7="Semana 4",'Semana 4'!G83,FALSE))))</f>
        <v>SOPORTE</v>
      </c>
      <c r="AC61" s="51" t="str">
        <f>IF($E$7="Semana 1",'Semana 1'!H105,IF($E$7="Semana 2",'Semana 2'!H83,IF($E$7="Semana 3",'Semana 3'!H83,IF($E$7="Semana 4",'Semana 4'!H83,FALSE))))</f>
        <v/>
      </c>
      <c r="AD61" s="51" t="str">
        <f>IF($E$7="Semana 1",'Semana 1'!I105,IF($E$7="Semana 2",'Semana 2'!I83,IF($E$7="Semana 3",'Semana 3'!I83,IF($E$7="Semana 4",'Semana 4'!I83,FALSE))))</f>
        <v> </v>
      </c>
      <c r="AE61" s="51" t="str">
        <f>IF($E$7="Semana 1",'Semana 1'!J105,IF($E$7="Semana 2",'Semana 2'!J83,IF($E$7="Semana 3",'Semana 3'!J83,IF($E$7="Semana 4",'Semana 4'!J83,FALSE))))</f>
        <v/>
      </c>
      <c r="AF61" s="51" t="str">
        <f>IF($E$7="Semana 1",'Semana 1'!K105,IF($E$7="Semana 2",'Semana 2'!K83,IF($E$7="Semana 3",'Semana 3'!K83,IF($E$7="Semana 4",'Semana 4'!K83,FALSE))))</f>
        <v> - </v>
      </c>
      <c r="AG61" s="51" t="str">
        <f>IF($E$7="Semana 1",'Semana 1'!L105,IF($E$7="Semana 2",'Semana 2'!L83,IF($E$7="Semana 3",'Semana 3'!L83,IF($E$7="Semana 4",'Semana 4'!L83,FALSE))))</f>
        <v/>
      </c>
      <c r="AH61" s="51" t="str">
        <f>IF($E$7="Semana 1",'Semana 1'!M105,IF($E$7="Semana 2",'Semana 2'!M83,IF($E$7="Semana 3",'Semana 3'!M83,IF($E$7="Semana 4",'Semana 4'!M83,FALSE))))</f>
        <v> - </v>
      </c>
      <c r="AI61" s="51" t="str">
        <f>IF($E$7="Semana 1",'Semana 1'!N105,IF($E$7="Semana 2",'Semana 2'!N83,IF($E$7="Semana 3",'Semana 3'!N83,IF($E$7="Semana 4",'Semana 4'!N83,FALSE))))</f>
        <v/>
      </c>
      <c r="AJ61" s="51" t="str">
        <f>IF($E$7="Semana 1",'Semana 1'!O105,IF($E$7="Semana 2",'Semana 2'!O83,IF($E$7="Semana 3",'Semana 3'!O83,IF($E$7="Semana 4",'Semana 4'!O83,FALSE))))</f>
        <v> - </v>
      </c>
      <c r="AK61" s="52" t="str">
        <f>IF($E$7="Semana 1",'Semana 1'!P105,IF($E$7="Semana 2",'Semana 2'!P83,IF($E$7="Semana 3",'Semana 3'!P83,IF($E$7="Semana 4",'Semana 4'!P83,FALSE))))</f>
        <v>-1.0</v>
      </c>
      <c r="AL61" s="51" t="str">
        <f>IF($E$7="Semana 1",'Semana 1'!Q105,IF($E$7="Semana 2",'Semana 2'!Q83,IF($E$7="Semana 3",'Semana 3'!Q83,IF($E$7="Semana 4",'Semana 4'!Q83,FALSE))))</f>
        <v/>
      </c>
      <c r="AM61" s="51" t="str">
        <f>IF($E$7="Semana 1",'Semana 1'!R105,IF($E$7="Semana 2",'Semana 2'!R83,IF($E$7="Semana 3",'Semana 3'!R83,IF($E$7="Semana 4",'Semana 4'!R83,FALSE))))</f>
        <v/>
      </c>
      <c r="AN61" s="51" t="str">
        <f>IF($E$7="Semana 1",'Semana 1'!S105,IF($E$7="Semana 2",'Semana 2'!S83,IF($E$7="Semana 3",'Semana 3'!S83,IF($E$7="Semana 4",'Semana 4'!S83,FALSE))))</f>
        <v/>
      </c>
      <c r="AO61" s="51" t="str">
        <f>IF($E$7="Semana 1",'Semana 1'!T105,IF($E$7="Semana 2",'Semana 2'!T83,IF($E$7="Semana 3",'Semana 3'!T83,IF($E$7="Semana 4",'Semana 4'!T83,FALSE))))</f>
        <v> - </v>
      </c>
      <c r="AP61" s="51" t="str">
        <f>IF($E$7="Semana 1",'Semana 1'!U105,IF($E$7="Semana 2",'Semana 2'!U83,IF($E$7="Semana 3",'Semana 3'!U83,IF($E$7="Semana 4",'Semana 4'!U83,FALSE))))</f>
        <v/>
      </c>
      <c r="AQ61" s="51" t="str">
        <f>IF($E$7="Semana 1",'Semana 1'!V105,IF($E$7="Semana 2",'Semana 2'!V83,IF($E$7="Semana 3",'Semana 3'!V83,IF($E$7="Semana 4",'Semana 4'!V83,FALSE))))</f>
        <v/>
      </c>
      <c r="AR61" s="51" t="str">
        <f>IF($E$7="Semana 1",'Semana 1'!W105,IF($E$7="Semana 2",'Semana 2'!W83,IF($E$7="Semana 3",'Semana 3'!W83,IF($E$7="Semana 4",'Semana 4'!W83,FALSE))))</f>
        <v/>
      </c>
      <c r="AS61" s="51" t="str">
        <f>IF($E$7="Semana 1",'Semana 1'!X105,IF($E$7="Semana 2",'Semana 2'!X83,IF($E$7="Semana 3",'Semana 3'!X83,IF($E$7="Semana 4",'Semana 4'!X83,FALSE))))</f>
        <v/>
      </c>
      <c r="AT61" s="52" t="str">
        <f>IF($E$7="Semana 1",'Semana 1'!Y105,IF($E$7="Semana 2",'Semana 2'!Y83,IF($E$7="Semana 3",'Semana 3'!Y83,IF($E$7="Semana 4",'Semana 4'!Y83,FALSE))))</f>
        <v>0.0</v>
      </c>
      <c r="AU61" s="52" t="str">
        <f>IF($E$7="Semana 1",'Semana 1'!Z105,IF($E$7="Semana 2",'Semana 2'!Z83,IF($E$7="Semana 3",'Semana 3'!Z83,IF($E$7="Semana 4",'Semana 4'!Z83,FALSE))))</f>
        <v>-1.0</v>
      </c>
      <c r="AV61" s="52" t="str">
        <f>IF($E$7="Semana 1",'Semana 1'!AA105,IF($E$7="Semana 2",'Semana 2'!AA83,IF($E$7="Semana 3",'Semana 3'!AA83,IF($E$7="Semana 4",'Semana 4'!AA83,FALSE))))</f>
        <v>-1.0</v>
      </c>
      <c r="AW61" s="52" t="str">
        <f>IF($E$7="Semana 1",'Semana 1'!AB105,IF($E$7="Semana 2",'Semana 2'!AB83,IF($E$7="Semana 3",'Semana 3'!AB83,IF($E$7="Semana 4",'Semana 4'!AB83,FALSE))))</f>
        <v>-1.0</v>
      </c>
      <c r="AX61" s="52" t="str">
        <f>IF($E$7="Semana 1",'Semana 1'!AC105,IF($E$7="Semana 2",'Semana 2'!AC83,IF($E$7="Semana 3",'Semana 3'!AC83,IF($E$7="Semana 4",'Semana 4'!AC83,FALSE))))</f>
        <v>-1.0</v>
      </c>
      <c r="AY61" s="52" t="str">
        <f>IF($E$7="Semana 1",'Semana 1'!AD84,IF($E$7="Semana 2",'Semana 2'!AD60,IF($E$7="Semana 3",'Semana 3'!AD60,IF($E$7="Semana 4",'Semana 4'!AD60,FALSE))))</f>
        <v>-5.0</v>
      </c>
    </row>
    <row r="62" ht="15.75" customHeight="1">
      <c r="Y62" s="179" t="str">
        <f t="shared" si="1"/>
        <v>56</v>
      </c>
      <c r="Z62" s="180" t="str">
        <f>IF($E$7="Semana 1",'Semana 1'!E106,IF($E$7="Semana 2",'Semana 2'!E84,IF($E$7="Semana 3",'Semana 3'!E84,IF($E$7="Semana 4",'Semana 4'!E84,FALSE))))</f>
        <v>Mariela Edith Torres Figueroa</v>
      </c>
      <c r="AA62" s="180" t="str">
        <f>IF($E$7="Semana 1",'Semana 1'!F106,IF($E$7="Semana 2",'Semana 2'!F84,IF($E$7="Semana 3",'Semana 3'!F84,IF($E$7="Semana 4",'Semana 4'!F84,FALSE))))</f>
        <v>Semana 1</v>
      </c>
      <c r="AB62" s="180" t="str">
        <f>IF($E$7="Semana 1",'Semana 1'!G106,IF($E$7="Semana 2",'Semana 2'!G84,IF($E$7="Semana 3",'Semana 3'!G84,IF($E$7="Semana 4",'Semana 4'!G84,FALSE))))</f>
        <v>AGENTE</v>
      </c>
      <c r="AC62" s="51" t="str">
        <f>IF($E$7="Semana 1",'Semana 1'!H106,IF($E$7="Semana 2",'Semana 2'!H84,IF($E$7="Semana 3",'Semana 3'!H84,IF($E$7="Semana 4",'Semana 4'!H84,FALSE))))</f>
        <v>8:00</v>
      </c>
      <c r="AD62" s="51" t="str">
        <f>IF($E$7="Semana 1",'Semana 1'!I106,IF($E$7="Semana 2",'Semana 2'!I84,IF($E$7="Semana 3",'Semana 3'!I84,IF($E$7="Semana 4",'Semana 4'!I84,FALSE))))</f>
        <v>18:00</v>
      </c>
      <c r="AE62" s="51" t="str">
        <f>IF($E$7="Semana 1",'Semana 1'!J106,IF($E$7="Semana 2",'Semana 2'!J84,IF($E$7="Semana 3",'Semana 3'!J84,IF($E$7="Semana 4",'Semana 4'!J84,FALSE))))</f>
        <v>12:00</v>
      </c>
      <c r="AF62" s="51" t="str">
        <f>IF($E$7="Semana 1",'Semana 1'!K106,IF($E$7="Semana 2",'Semana 2'!K84,IF($E$7="Semana 3",'Semana 3'!K84,IF($E$7="Semana 4",'Semana 4'!K84,FALSE))))</f>
        <v>1:00</v>
      </c>
      <c r="AG62" s="51" t="str">
        <f>IF($E$7="Semana 1",'Semana 1'!L106,IF($E$7="Semana 2",'Semana 2'!L84,IF($E$7="Semana 3",'Semana 3'!L84,IF($E$7="Semana 4",'Semana 4'!L84,FALSE))))</f>
        <v>9:15</v>
      </c>
      <c r="AH62" s="51" t="str">
        <f>IF($E$7="Semana 1",'Semana 1'!M106,IF($E$7="Semana 2",'Semana 2'!M84,IF($E$7="Semana 3",'Semana 3'!M84,IF($E$7="Semana 4",'Semana 4'!M84,FALSE))))</f>
        <v>0:20</v>
      </c>
      <c r="AI62" s="51" t="str">
        <f>IF($E$7="Semana 1",'Semana 1'!N106,IF($E$7="Semana 2",'Semana 2'!N84,IF($E$7="Semana 3",'Semana 3'!N84,IF($E$7="Semana 4",'Semana 4'!N84,FALSE))))</f>
        <v>17:15</v>
      </c>
      <c r="AJ62" s="51" t="str">
        <f>IF($E$7="Semana 1",'Semana 1'!O106,IF($E$7="Semana 2",'Semana 2'!O84,IF($E$7="Semana 3",'Semana 3'!O84,IF($E$7="Semana 4",'Semana 4'!O84,FALSE))))</f>
        <v>0:10</v>
      </c>
      <c r="AK62" s="52" t="str">
        <f>IF($E$7="Semana 1",'Semana 1'!P106,IF($E$7="Semana 2",'Semana 2'!P84,IF($E$7="Semana 3",'Semana 3'!P84,IF($E$7="Semana 4",'Semana 4'!P84,FALSE))))</f>
        <v>9.0</v>
      </c>
      <c r="AL62" s="51" t="str">
        <f>IF($E$7="Semana 1",'Semana 1'!Q106,IF($E$7="Semana 2",'Semana 2'!Q84,IF($E$7="Semana 3",'Semana 3'!Q84,IF($E$7="Semana 4",'Semana 4'!Q84,FALSE))))</f>
        <v/>
      </c>
      <c r="AM62" s="51" t="str">
        <f>IF($E$7="Semana 1",'Semana 1'!R106,IF($E$7="Semana 2",'Semana 2'!R84,IF($E$7="Semana 3",'Semana 3'!R84,IF($E$7="Semana 4",'Semana 4'!R84,FALSE))))</f>
        <v/>
      </c>
      <c r="AN62" s="53" t="str">
        <f>IF($E$7="Semana 1",'Semana 1'!S106,IF($E$7="Semana 2",'Semana 2'!S84,IF($E$7="Semana 3",'Semana 3'!S84,IF($E$7="Semana 4",'Semana 4'!S84,FALSE))))</f>
        <v/>
      </c>
      <c r="AO62" s="53" t="str">
        <f>IF($E$7="Semana 1",'Semana 1'!T106,IF($E$7="Semana 2",'Semana 2'!T84,IF($E$7="Semana 3",'Semana 3'!T84,IF($E$7="Semana 4",'Semana 4'!T84,FALSE))))</f>
        <v/>
      </c>
      <c r="AP62" s="51" t="str">
        <f>IF($E$7="Semana 1",'Semana 1'!U106,IF($E$7="Semana 2",'Semana 2'!U84,IF($E$7="Semana 3",'Semana 3'!U84,IF($E$7="Semana 4",'Semana 4'!U84,FALSE))))</f>
        <v/>
      </c>
      <c r="AQ62" s="51" t="str">
        <f>IF($E$7="Semana 1",'Semana 1'!V106,IF($E$7="Semana 2",'Semana 2'!V84,IF($E$7="Semana 3",'Semana 3'!V84,IF($E$7="Semana 4",'Semana 4'!V84,FALSE))))</f>
        <v/>
      </c>
      <c r="AR62" s="53" t="str">
        <f>IF($E$7="Semana 1",'Semana 1'!W106,IF($E$7="Semana 2",'Semana 2'!W84,IF($E$7="Semana 3",'Semana 3'!W84,IF($E$7="Semana 4",'Semana 4'!W84,FALSE))))</f>
        <v/>
      </c>
      <c r="AS62" s="53" t="str">
        <f>IF($E$7="Semana 1",'Semana 1'!X106,IF($E$7="Semana 2",'Semana 2'!X84,IF($E$7="Semana 3",'Semana 3'!X84,IF($E$7="Semana 4",'Semana 4'!X84,FALSE))))</f>
        <v/>
      </c>
      <c r="AT62" s="52" t="str">
        <f>IF($E$7="Semana 1",'Semana 1'!Y106,IF($E$7="Semana 2",'Semana 2'!Y84,IF($E$7="Semana 3",'Semana 3'!Y84,IF($E$7="Semana 4",'Semana 4'!Y84,FALSE))))</f>
        <v>0.0</v>
      </c>
      <c r="AU62" s="52" t="str">
        <f>IF($E$7="Semana 1",'Semana 1'!Z106,IF($E$7="Semana 2",'Semana 2'!Z84,IF($E$7="Semana 3",'Semana 3'!Z84,IF($E$7="Semana 4",'Semana 4'!Z84,FALSE))))</f>
        <v>9.0</v>
      </c>
      <c r="AV62" s="52" t="str">
        <f>IF($E$7="Semana 1",'Semana 1'!AA106,IF($E$7="Semana 2",'Semana 2'!AA84,IF($E$7="Semana 3",'Semana 3'!AA84,IF($E$7="Semana 4",'Semana 4'!AA84,FALSE))))</f>
        <v>9.0</v>
      </c>
      <c r="AW62" s="52" t="str">
        <f>IF($E$7="Semana 1",'Semana 1'!AB106,IF($E$7="Semana 2",'Semana 2'!AB84,IF($E$7="Semana 3",'Semana 3'!AB84,IF($E$7="Semana 4",'Semana 4'!AB84,FALSE))))</f>
        <v>9.0</v>
      </c>
      <c r="AX62" s="52" t="str">
        <f>IF($E$7="Semana 1",'Semana 1'!AC106,IF($E$7="Semana 2",'Semana 2'!AC84,IF($E$7="Semana 3",'Semana 3'!AC84,IF($E$7="Semana 4",'Semana 4'!AC84,FALSE))))</f>
        <v>9.0</v>
      </c>
      <c r="AY62" s="52" t="str">
        <f>IF($E$7="Semana 1",'Semana 1'!AD85,IF($E$7="Semana 2",'Semana 2'!AD61,IF($E$7="Semana 3",'Semana 3'!AD61,IF($E$7="Semana 4",'Semana 4'!AD61,FALSE))))</f>
        <v>45.1</v>
      </c>
    </row>
    <row r="63" ht="15.75" customHeight="1">
      <c r="Y63" s="179" t="str">
        <f t="shared" si="1"/>
        <v>57</v>
      </c>
      <c r="Z63" s="180" t="str">
        <f>IF($E$7="Semana 1",'Semana 1'!E107,IF($E$7="Semana 2",'Semana 2'!E85,IF($E$7="Semana 3",'Semana 3'!E85,IF($E$7="Semana 4",'Semana 4'!E85,FALSE))))</f>
        <v>Marlyn Argentina Aguilar Lemus</v>
      </c>
      <c r="AA63" s="180" t="str">
        <f>IF($E$7="Semana 1",'Semana 1'!F107,IF($E$7="Semana 2",'Semana 2'!F85,IF($E$7="Semana 3",'Semana 3'!F85,IF($E$7="Semana 4",'Semana 4'!F85,FALSE))))</f>
        <v>Semana 1</v>
      </c>
      <c r="AB63" s="180" t="str">
        <f>IF($E$7="Semana 1",'Semana 1'!G107,IF($E$7="Semana 2",'Semana 2'!G85,IF($E$7="Semana 3",'Semana 3'!G85,IF($E$7="Semana 4",'Semana 4'!G85,FALSE))))</f>
        <v>AGENTE</v>
      </c>
      <c r="AC63" s="51" t="str">
        <f>IF($E$7="Semana 1",'Semana 1'!H107,IF($E$7="Semana 2",'Semana 2'!H85,IF($E$7="Semana 3",'Semana 3'!H85,IF($E$7="Semana 4",'Semana 4'!H85,FALSE))))</f>
        <v>6:30</v>
      </c>
      <c r="AD63" s="51" t="str">
        <f>IF($E$7="Semana 1",'Semana 1'!I107,IF($E$7="Semana 2",'Semana 2'!I85,IF($E$7="Semana 3",'Semana 3'!I85,IF($E$7="Semana 4",'Semana 4'!I85,FALSE))))</f>
        <v>16:30</v>
      </c>
      <c r="AE63" s="51" t="str">
        <f>IF($E$7="Semana 1",'Semana 1'!J107,IF($E$7="Semana 2",'Semana 2'!J85,IF($E$7="Semana 3",'Semana 3'!J85,IF($E$7="Semana 4",'Semana 4'!J85,FALSE))))</f>
        <v>12:00</v>
      </c>
      <c r="AF63" s="51" t="str">
        <f>IF($E$7="Semana 1",'Semana 1'!K107,IF($E$7="Semana 2",'Semana 2'!K85,IF($E$7="Semana 3",'Semana 3'!K85,IF($E$7="Semana 4",'Semana 4'!K85,FALSE))))</f>
        <v>1:00</v>
      </c>
      <c r="AG63" s="51" t="str">
        <f>IF($E$7="Semana 1",'Semana 1'!L107,IF($E$7="Semana 2",'Semana 2'!L85,IF($E$7="Semana 3",'Semana 3'!L85,IF($E$7="Semana 4",'Semana 4'!L85,FALSE))))</f>
        <v>8:30</v>
      </c>
      <c r="AH63" s="51" t="str">
        <f>IF($E$7="Semana 1",'Semana 1'!M107,IF($E$7="Semana 2",'Semana 2'!M85,IF($E$7="Semana 3",'Semana 3'!M85,IF($E$7="Semana 4",'Semana 4'!M85,FALSE))))</f>
        <v>0:20</v>
      </c>
      <c r="AI63" s="51" t="str">
        <f>IF($E$7="Semana 1",'Semana 1'!N107,IF($E$7="Semana 2",'Semana 2'!N85,IF($E$7="Semana 3",'Semana 3'!N85,IF($E$7="Semana 4",'Semana 4'!N85,FALSE))))</f>
        <v>15:45</v>
      </c>
      <c r="AJ63" s="51" t="str">
        <f>IF($E$7="Semana 1",'Semana 1'!O107,IF($E$7="Semana 2",'Semana 2'!O85,IF($E$7="Semana 3",'Semana 3'!O85,IF($E$7="Semana 4",'Semana 4'!O85,FALSE))))</f>
        <v>0:10</v>
      </c>
      <c r="AK63" s="52" t="str">
        <f>IF($E$7="Semana 1",'Semana 1'!P107,IF($E$7="Semana 2",'Semana 2'!P85,IF($E$7="Semana 3",'Semana 3'!P85,IF($E$7="Semana 4",'Semana 4'!P85,FALSE))))</f>
        <v>9.0</v>
      </c>
      <c r="AL63" s="51" t="str">
        <f>IF($E$7="Semana 1",'Semana 1'!Q107,IF($E$7="Semana 2",'Semana 2'!Q85,IF($E$7="Semana 3",'Semana 3'!Q85,IF($E$7="Semana 4",'Semana 4'!Q85,FALSE))))</f>
        <v/>
      </c>
      <c r="AM63" s="51" t="str">
        <f>IF($E$7="Semana 1",'Semana 1'!R107,IF($E$7="Semana 2",'Semana 2'!R85,IF($E$7="Semana 3",'Semana 3'!R85,IF($E$7="Semana 4",'Semana 4'!R85,FALSE))))</f>
        <v/>
      </c>
      <c r="AN63" s="53" t="str">
        <f>IF($E$7="Semana 1",'Semana 1'!S107,IF($E$7="Semana 2",'Semana 2'!S85,IF($E$7="Semana 3",'Semana 3'!S85,IF($E$7="Semana 4",'Semana 4'!S85,FALSE))))</f>
        <v/>
      </c>
      <c r="AO63" s="53" t="str">
        <f>IF($E$7="Semana 1",'Semana 1'!T107,IF($E$7="Semana 2",'Semana 2'!T85,IF($E$7="Semana 3",'Semana 3'!T85,IF($E$7="Semana 4",'Semana 4'!T85,FALSE))))</f>
        <v/>
      </c>
      <c r="AP63" s="51" t="str">
        <f>IF($E$7="Semana 1",'Semana 1'!U107,IF($E$7="Semana 2",'Semana 2'!U85,IF($E$7="Semana 3",'Semana 3'!U85,IF($E$7="Semana 4",'Semana 4'!U85,FALSE))))</f>
        <v/>
      </c>
      <c r="AQ63" s="51" t="str">
        <f>IF($E$7="Semana 1",'Semana 1'!V107,IF($E$7="Semana 2",'Semana 2'!V85,IF($E$7="Semana 3",'Semana 3'!V85,IF($E$7="Semana 4",'Semana 4'!V85,FALSE))))</f>
        <v/>
      </c>
      <c r="AR63" s="53" t="str">
        <f>IF($E$7="Semana 1",'Semana 1'!W107,IF($E$7="Semana 2",'Semana 2'!W85,IF($E$7="Semana 3",'Semana 3'!W85,IF($E$7="Semana 4",'Semana 4'!W85,FALSE))))</f>
        <v/>
      </c>
      <c r="AS63" s="53" t="str">
        <f>IF($E$7="Semana 1",'Semana 1'!X107,IF($E$7="Semana 2",'Semana 2'!X85,IF($E$7="Semana 3",'Semana 3'!X85,IF($E$7="Semana 4",'Semana 4'!X85,FALSE))))</f>
        <v/>
      </c>
      <c r="AT63" s="52" t="str">
        <f>IF($E$7="Semana 1",'Semana 1'!Y107,IF($E$7="Semana 2",'Semana 2'!Y85,IF($E$7="Semana 3",'Semana 3'!Y85,IF($E$7="Semana 4",'Semana 4'!Y85,FALSE))))</f>
        <v>0.0</v>
      </c>
      <c r="AU63" s="52" t="str">
        <f>IF($E$7="Semana 1",'Semana 1'!Z107,IF($E$7="Semana 2",'Semana 2'!Z85,IF($E$7="Semana 3",'Semana 3'!Z85,IF($E$7="Semana 4",'Semana 4'!Z85,FALSE))))</f>
        <v>9.0</v>
      </c>
      <c r="AV63" s="52" t="str">
        <f>IF($E$7="Semana 1",'Semana 1'!AA107,IF($E$7="Semana 2",'Semana 2'!AA85,IF($E$7="Semana 3",'Semana 3'!AA85,IF($E$7="Semana 4",'Semana 4'!AA85,FALSE))))</f>
        <v>9.0</v>
      </c>
      <c r="AW63" s="52" t="str">
        <f>IF($E$7="Semana 1",'Semana 1'!AB107,IF($E$7="Semana 2",'Semana 2'!AB85,IF($E$7="Semana 3",'Semana 3'!AB85,IF($E$7="Semana 4",'Semana 4'!AB85,FALSE))))</f>
        <v>9.0</v>
      </c>
      <c r="AX63" s="52" t="str">
        <f>IF($E$7="Semana 1",'Semana 1'!AC107,IF($E$7="Semana 2",'Semana 2'!AC85,IF($E$7="Semana 3",'Semana 3'!AC85,IF($E$7="Semana 4",'Semana 4'!AC85,FALSE))))</f>
        <v>9.0</v>
      </c>
      <c r="AY63" s="52" t="str">
        <f>IF($E$7="Semana 1",'Semana 1'!#REF!,IF($E$7="Semana 2",'Semana 2'!AD62,IF($E$7="Semana 3",'Semana 3'!AD62,IF($E$7="Semana 4",'Semana 4'!AD62,FALSE))))</f>
        <v>#ERROR!</v>
      </c>
    </row>
    <row r="64" ht="15.75" customHeight="1">
      <c r="Y64" s="179" t="str">
        <f t="shared" si="1"/>
        <v>58</v>
      </c>
    </row>
    <row r="65" ht="15.75" customHeight="1">
      <c r="Y65" s="179" t="str">
        <f t="shared" si="1"/>
        <v>59</v>
      </c>
    </row>
    <row r="66" ht="15.75" customHeight="1">
      <c r="Y66" s="179" t="str">
        <f t="shared" si="1"/>
        <v>60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2:$S$7"/>
  <mergeCells count="2">
    <mergeCell ref="A2:S5"/>
    <mergeCell ref="A7:C7"/>
  </mergeCells>
  <dataValidations>
    <dataValidation type="list" allowBlank="1" showErrorMessage="1" sqref="E7">
      <formula1>$Z$2:$Z$5</formula1>
    </dataValidation>
  </dataValidations>
  <printOptions/>
  <pageMargins bottom="0.75" footer="0.0" header="0.0" left="0.7" right="0.7" top="0.75"/>
  <pageSetup orientation="landscape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Hojas de cálculo</vt:lpstr>
      </vt:variant>
      <vt:variant>
        <vt:i4>8</vt:i4>
      </vt:variant>
    </vt:vector>
  </HeadingPairs>
  <TitlesOfParts>
    <vt:vector baseType="lpstr" size="8">
      <vt:lpstr>Semana 1</vt:lpstr>
      <vt:lpstr>Semana 2</vt:lpstr>
      <vt:lpstr>Semana 3</vt:lpstr>
      <vt:lpstr>Semana 4</vt:lpstr>
      <vt:lpstr>Hoja1</vt:lpstr>
      <vt:lpstr>Personal</vt:lpstr>
      <vt:lpstr>Horario Mes</vt:lpstr>
      <vt:lpstr>Resumen por Pausas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2019-11-13T22:35:26Z</dcterms:created>
  <dc:creator>Jose Jimenez</dc:creator>
  <cp:lastModifiedBy>datos_analista</cp:lastModifiedBy>
  <dcterms:modified xsi:type="dcterms:W3CDTF">2023-08-31T22:59:20Z</dcterms:modified>
</cp:coreProperties>
</file>